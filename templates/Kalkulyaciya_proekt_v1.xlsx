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Сводка" sheetId="1" state="visible" r:id="rId1"/>
    <sheet name="Калькуляция" sheetId="2" state="visible" r:id="rId2"/>
    <sheet name="Металл" sheetId="3" state="visible" r:id="rId3"/>
    <sheet name="Предложение" sheetId="4" state="visible" r:id="rId4"/>
    <sheet name="Параметры" sheetId="5" state="visible" r:id="rId5"/>
    <sheet name="Касса" sheetId="6" state="visible" r:id="rId6"/>
    <sheet name="Инструкция" sheetId="7" state="visible" r:id="rId7"/>
  </sheets>
  <definedNames>
    <definedName name="_xlnm._FilterDatabase" localSheetId="1" hidden="1">'Калькуляция'!$B$5:$L$105</definedName>
    <definedName name="_xlnm._FilterDatabase" localSheetId="2" hidden="1">'Металл'!$B$5:$J$36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&quot; ₽&quot;"/>
    <numFmt numFmtId="165" formatCode="0.0%"/>
    <numFmt numFmtId="166" formatCode="DD.MM.YYYY"/>
    <numFmt numFmtId="167" formatCode="0.0"/>
    <numFmt numFmtId="168" formatCode="[$-419]D MMMM YYYY"/>
    <numFmt numFmtId="169" formatCode="0.000"/>
  </numFmts>
  <fonts count="27">
    <font>
      <name val="Calibri"/>
      <color theme="1"/>
      <sz val="11"/>
      <scheme val="minor"/>
    </font>
    <font>
      <name val="Calibri"/>
      <b val="1"/>
      <color rgb="FF2F3E46"/>
      <sz val="16"/>
    </font>
    <font>
      <name val="Calibri"/>
      <i val="1"/>
      <color rgb="FF5A5D55"/>
      <sz val="9"/>
    </font>
    <font>
      <name val="Calibri"/>
      <i val="1"/>
      <color rgb="FF666666"/>
      <sz val="9"/>
    </font>
    <font>
      <name val="Consolas"/>
      <b val="1"/>
      <color rgb="FF5A5D55"/>
      <sz val="9"/>
    </font>
    <font>
      <name val="Calibri"/>
      <b val="1"/>
      <color rgb="FFFFFFFF"/>
      <sz val="11"/>
    </font>
    <font>
      <name val="Calibri"/>
      <b val="1"/>
      <color rgb="FFFFFFFF"/>
      <sz val="12"/>
    </font>
    <font/>
    <font>
      <name val="Arial Black"/>
      <color rgb="FF141613"/>
      <sz val="14"/>
    </font>
    <font>
      <name val="Calibri"/>
      <color theme="1"/>
      <sz val="11"/>
    </font>
    <font>
      <name val="Calibri"/>
      <color rgb="FF2F3E46"/>
      <sz val="11"/>
    </font>
    <font>
      <name val="Calibri"/>
      <b val="1"/>
      <color rgb="FF2F3E46"/>
      <sz val="11"/>
    </font>
    <font>
      <name val="Consolas"/>
      <b val="1"/>
      <color rgb="FF141613"/>
      <sz val="9"/>
    </font>
    <font>
      <name val="Arial Black"/>
      <color rgb="FF141613"/>
      <sz val="28"/>
    </font>
    <font>
      <name val="Calibri"/>
      <b val="1"/>
      <color rgb="FF5A5D55"/>
      <sz val="12"/>
    </font>
    <font>
      <name val="Consolas"/>
      <b val="1"/>
      <color rgb="FF141613"/>
      <sz val="10"/>
    </font>
    <font>
      <name val="Calibri"/>
      <color rgb="FF141613"/>
      <sz val="11"/>
    </font>
    <font>
      <name val="Consolas"/>
      <b val="1"/>
      <color rgb="FF5A5D55"/>
      <sz val="8"/>
    </font>
    <font>
      <name val="Calibri"/>
      <b val="1"/>
      <color rgb="FF2F3E46"/>
      <sz val="14"/>
    </font>
    <font>
      <name val="Calibri"/>
      <color rgb="FF5A5D55"/>
      <sz val="10"/>
    </font>
    <font>
      <name val="Calibri"/>
      <i val="1"/>
      <color rgb="FF5A5D55"/>
      <sz val="8"/>
    </font>
    <font>
      <name val="Arial Black"/>
      <color rgb="FF141613"/>
      <sz val="18"/>
    </font>
    <font>
      <name val="Arial Black"/>
      <color rgb="FF141613"/>
      <sz val="12"/>
    </font>
    <font>
      <name val="Arial Black"/>
      <color rgb="FF141613"/>
      <sz val="20"/>
    </font>
    <font>
      <name val="Consolas"/>
      <b val="1"/>
      <color rgb="FFFAF8F2"/>
      <sz val="10"/>
    </font>
    <font>
      <name val="Consolas"/>
      <b val="1"/>
      <color rgb="FF141613"/>
      <sz val="11"/>
    </font>
    <font>
      <name val="Calibri"/>
      <color theme="1"/>
      <scheme val="minor"/>
    </font>
  </fonts>
  <fills count="15">
    <fill>
      <patternFill/>
    </fill>
    <fill>
      <patternFill patternType="lightGray"/>
    </fill>
    <fill>
      <patternFill patternType="solid">
        <fgColor rgb="FF2F3E46"/>
        <bgColor rgb="FF2F3E46"/>
      </patternFill>
    </fill>
    <fill>
      <patternFill patternType="solid">
        <fgColor rgb="FF52796F"/>
        <bgColor rgb="FF52796F"/>
      </patternFill>
    </fill>
    <fill>
      <patternFill patternType="solid">
        <fgColor rgb="FFE8EEF2"/>
        <bgColor rgb="FFE8EEF2"/>
      </patternFill>
    </fill>
    <fill>
      <patternFill patternType="solid">
        <fgColor rgb="FFF0F4F3"/>
        <bgColor rgb="FFF0F4F3"/>
      </patternFill>
    </fill>
    <fill>
      <patternFill patternType="solid">
        <fgColor rgb="FFFFF3BF"/>
        <bgColor rgb="FFFFF3BF"/>
      </patternFill>
    </fill>
    <fill>
      <patternFill patternType="solid">
        <fgColor rgb="FFF2EFE7"/>
        <bgColor rgb="FFF2EFE7"/>
      </patternFill>
    </fill>
    <fill>
      <patternFill patternType="solid">
        <fgColor rgb="FFE8B800"/>
        <bgColor rgb="FFE8B800"/>
      </patternFill>
    </fill>
    <fill>
      <patternFill patternType="solid">
        <fgColor rgb="FFFAF8F2"/>
        <bgColor rgb="FFFAF8F2"/>
      </patternFill>
    </fill>
    <fill>
      <patternFill patternType="solid">
        <fgColor rgb="FFE8E4D8"/>
        <bgColor rgb="FFE8E4D8"/>
      </patternFill>
    </fill>
    <fill>
      <patternFill patternType="solid">
        <fgColor rgb="FFD8F3DC"/>
        <bgColor rgb="FFD8F3DC"/>
      </patternFill>
    </fill>
    <fill>
      <patternFill patternType="solid">
        <fgColor rgb="FFFFE8A3"/>
        <bgColor rgb="FFFFE8A3"/>
      </patternFill>
    </fill>
    <fill>
      <patternFill patternType="solid">
        <fgColor rgb="FF141613"/>
        <bgColor rgb="FF141613"/>
      </patternFill>
    </fill>
    <fill>
      <patternFill patternType="solid">
        <fgColor rgb="FFF3C84A"/>
        <bgColor rgb="FFF3C84A"/>
      </patternFill>
    </fill>
  </fills>
  <borders count="37">
    <border/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top style="thin">
        <color rgb="FFB0B0B0"/>
      </top>
      <bottom style="thin">
        <color rgb="FFB0B0B0"/>
      </bottom>
    </border>
    <border>
      <right style="thin">
        <color rgb="FFB0B0B0"/>
      </right>
      <top style="thin">
        <color rgb="FFB0B0B0"/>
      </top>
      <bottom style="thin">
        <color rgb="FFB0B0B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141613"/>
      </left>
      <top style="thin">
        <color rgb="FF141613"/>
      </top>
      <bottom style="thin">
        <color rgb="FF141613"/>
      </bottom>
    </border>
    <border>
      <top style="thin">
        <color rgb="FFB0B0B0"/>
      </top>
      <bottom style="thin">
        <color rgb="FFB0B0B0"/>
      </bottom>
    </border>
    <border>
      <right style="thin">
        <color rgb="FF141613"/>
      </right>
      <top style="thin">
        <color rgb="FF141613"/>
      </top>
      <bottom style="thin">
        <color rgb="FF141613"/>
      </bottom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thin">
        <color rgb="FF141613"/>
      </left>
      <right style="thin">
        <color rgb="FF141613"/>
      </right>
      <top style="thin">
        <color rgb="FF141613"/>
      </top>
      <bottom style="thin">
        <color rgb="FF141613"/>
      </bottom>
    </border>
    <border>
      <left style="medium">
        <color rgb="FF141613"/>
      </left>
      <top style="medium">
        <color rgb="FF141613"/>
      </top>
    </border>
    <border>
      <right style="medium">
        <color rgb="FF141613"/>
      </right>
      <top style="medium">
        <color rgb="FF141613"/>
      </top>
    </border>
    <border>
      <left style="medium">
        <color rgb="FF141613"/>
      </left>
      <right style="medium">
        <color rgb="FF141613"/>
      </right>
      <top style="medium">
        <color rgb="FF141613"/>
      </top>
    </border>
    <border>
      <left style="medium">
        <color rgb="FF141613"/>
      </left>
    </border>
    <border>
      <right style="medium">
        <color rgb="FF141613"/>
      </right>
    </border>
    <border>
      <left style="medium">
        <color rgb="FF141613"/>
      </left>
      <right style="medium">
        <color rgb="FF141613"/>
      </right>
    </border>
    <border>
      <left style="medium">
        <color rgb="FF141613"/>
      </left>
      <bottom style="medium">
        <color rgb="FF141613"/>
      </bottom>
    </border>
    <border>
      <right style="medium">
        <color rgb="FF141613"/>
      </right>
      <bottom style="medium">
        <color rgb="FF141613"/>
      </bottom>
    </border>
    <border>
      <left style="medium">
        <color rgb="FF141613"/>
      </left>
      <right style="medium">
        <color rgb="FF141613"/>
      </right>
      <bottom style="medium">
        <color rgb="FF141613"/>
      </bottom>
    </border>
    <border>
      <top style="medium">
        <color rgb="FF141613"/>
      </top>
    </border>
    <border>
      <bottom style="medium">
        <color rgb="FF141613"/>
      </bottom>
    </border>
    <border>
      <top style="thin">
        <color rgb="FF141613"/>
      </top>
      <bottom style="thin">
        <color rgb="FF141613"/>
      </bottom>
    </border>
    <border>
      <left/>
    </border>
    <border>
      <right/>
    </border>
    <border>
      <top style="thin">
        <color rgb="FFB0B0B0"/>
      </top>
    </border>
    <border>
      <right style="thin">
        <color rgb="FFB0B0B0"/>
      </right>
      <top style="thin">
        <color rgb="FFB0B0B0"/>
      </top>
    </border>
    <border>
      <top style="thin">
        <color rgb="FF141613"/>
      </top>
    </border>
    <border>
      <right style="thin">
        <color rgb="FF141613"/>
      </right>
      <top style="thin">
        <color rgb="FF141613"/>
      </top>
    </border>
    <border>
      <left style="medium">
        <color rgb="FF141613"/>
      </left>
      <right style="medium">
        <color rgb="FF141613"/>
      </right>
      <top style="medium">
        <color rgb="FF141613"/>
      </top>
      <bottom style="medium">
        <color rgb="FF141613"/>
      </bottom>
    </border>
  </borders>
  <cellStyleXfs count="1">
    <xf numFmtId="0" fontId="0" fillId="0" borderId="0"/>
  </cellStyleXfs>
  <cellXfs count="14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7" fillId="0" borderId="3" pivotButton="0" quotePrefix="0" xfId="0"/>
    <xf numFmtId="164" fontId="8" fillId="4" borderId="1" pivotButton="0" quotePrefix="0" xfId="0"/>
    <xf numFmtId="0" fontId="9" fillId="5" borderId="1" pivotButton="0" quotePrefix="0" xfId="0"/>
    <xf numFmtId="0" fontId="9" fillId="6" borderId="1" pivotButton="0" quotePrefix="0" xfId="0"/>
    <xf numFmtId="0" fontId="5" fillId="2" borderId="2" applyAlignment="1" pivotButton="0" quotePrefix="0" xfId="0">
      <alignment horizontal="center" vertical="center" wrapText="1"/>
    </xf>
    <xf numFmtId="0" fontId="6" fillId="3" borderId="4" pivotButton="0" quotePrefix="0" xfId="0"/>
    <xf numFmtId="0" fontId="4" fillId="7" borderId="4" pivotButton="0" quotePrefix="0" xfId="0"/>
    <xf numFmtId="0" fontId="7" fillId="0" borderId="5" pivotButton="0" quotePrefix="0" xfId="0"/>
    <xf numFmtId="165" fontId="10" fillId="4" borderId="1" pivotButton="0" quotePrefix="0" xfId="0"/>
    <xf numFmtId="0" fontId="7" fillId="0" borderId="6" pivotButton="0" quotePrefix="0" xfId="0"/>
    <xf numFmtId="0" fontId="4" fillId="7" borderId="7" pivotButton="0" quotePrefix="0" xfId="0"/>
    <xf numFmtId="164" fontId="11" fillId="4" borderId="1" pivotButton="0" quotePrefix="0" xfId="0"/>
    <xf numFmtId="0" fontId="12" fillId="6" borderId="8" pivotButton="0" quotePrefix="0" xfId="0"/>
    <xf numFmtId="0" fontId="7" fillId="0" borderId="9" pivotButton="0" quotePrefix="0" xfId="0"/>
    <xf numFmtId="0" fontId="9" fillId="0" borderId="1" pivotButton="0" quotePrefix="0" xfId="0"/>
    <xf numFmtId="0" fontId="7" fillId="0" borderId="10" pivotButton="0" quotePrefix="0" xfId="0"/>
    <xf numFmtId="0" fontId="9" fillId="6" borderId="1" pivotButton="0" quotePrefix="0" xfId="0"/>
    <xf numFmtId="0" fontId="13" fillId="7" borderId="11" applyAlignment="1" pivotButton="0" quotePrefix="0" xfId="0">
      <alignment horizontal="left" vertical="center"/>
    </xf>
    <xf numFmtId="0" fontId="7" fillId="0" borderId="12" pivotButton="0" quotePrefix="0" xfId="0"/>
    <xf numFmtId="0" fontId="7" fillId="0" borderId="13" pivotButton="0" quotePrefix="0" xfId="0"/>
    <xf numFmtId="164" fontId="9" fillId="4" borderId="1" pivotButton="0" quotePrefix="0" xfId="0"/>
    <xf numFmtId="0" fontId="7" fillId="0" borderId="14" pivotButton="0" quotePrefix="0" xfId="0"/>
    <xf numFmtId="0" fontId="7" fillId="0" borderId="15" pivotButton="0" quotePrefix="0" xfId="0"/>
    <xf numFmtId="164" fontId="9" fillId="6" borderId="1" pivotButton="0" quotePrefix="0" xfId="0"/>
    <xf numFmtId="0" fontId="7" fillId="0" borderId="16" pivotButton="0" quotePrefix="0" xfId="0"/>
    <xf numFmtId="166" fontId="9" fillId="6" borderId="1" pivotButton="0" quotePrefix="0" xfId="0"/>
    <xf numFmtId="0" fontId="14" fillId="7" borderId="4" pivotButton="0" quotePrefix="0" xfId="0"/>
    <xf numFmtId="164" fontId="10" fillId="4" borderId="1" pivotButton="0" quotePrefix="0" xfId="0"/>
    <xf numFmtId="0" fontId="15" fillId="8" borderId="4" applyAlignment="1" pivotButton="0" quotePrefix="0" xfId="0">
      <alignment horizontal="left" vertical="center"/>
    </xf>
    <xf numFmtId="167" fontId="9" fillId="5" borderId="1" pivotButton="0" quotePrefix="0" xfId="0"/>
    <xf numFmtId="0" fontId="9" fillId="7" borderId="7" pivotButton="0" quotePrefix="0" xfId="0"/>
    <xf numFmtId="0" fontId="11" fillId="5" borderId="2" pivotButton="0" quotePrefix="0" xfId="0"/>
    <xf numFmtId="0" fontId="16" fillId="9" borderId="8" pivotButton="0" quotePrefix="0" xfId="0"/>
    <xf numFmtId="0" fontId="10" fillId="5" borderId="2" pivotButton="0" quotePrefix="0" xfId="0"/>
    <xf numFmtId="0" fontId="16" fillId="9" borderId="17" pivotButton="0" quotePrefix="0" xfId="0"/>
    <xf numFmtId="168" fontId="16" fillId="9" borderId="8" pivotButton="0" quotePrefix="0" xfId="0"/>
    <xf numFmtId="166" fontId="16" fillId="9" borderId="17" pivotButton="0" quotePrefix="0" xfId="0"/>
    <xf numFmtId="2" fontId="10" fillId="4" borderId="1" pivotButton="0" quotePrefix="0" xfId="0"/>
    <xf numFmtId="0" fontId="17" fillId="7" borderId="4" pivotButton="0" quotePrefix="0" xfId="0"/>
    <xf numFmtId="0" fontId="11" fillId="6" borderId="2" pivotButton="0" quotePrefix="0" xfId="0"/>
    <xf numFmtId="0" fontId="12" fillId="9" borderId="8" applyAlignment="1" pivotButton="0" quotePrefix="0" xfId="0">
      <alignment horizontal="center" vertical="center"/>
    </xf>
    <xf numFmtId="164" fontId="18" fillId="6" borderId="1" pivotButton="0" quotePrefix="0" xfId="0"/>
    <xf numFmtId="0" fontId="12" fillId="9" borderId="17" applyAlignment="1" pivotButton="0" quotePrefix="0" xfId="0">
      <alignment horizontal="center" vertical="center"/>
    </xf>
    <xf numFmtId="0" fontId="9" fillId="5" borderId="2" pivotButton="0" quotePrefix="0" xfId="0"/>
    <xf numFmtId="0" fontId="19" fillId="10" borderId="18" applyAlignment="1" pivotButton="0" quotePrefix="0" xfId="0">
      <alignment horizontal="center" vertical="center" wrapText="1"/>
    </xf>
    <xf numFmtId="0" fontId="7" fillId="0" borderId="19" pivotButton="0" quotePrefix="0" xfId="0"/>
    <xf numFmtId="0" fontId="19" fillId="10" borderId="20" applyAlignment="1" pivotButton="0" quotePrefix="0" xfId="0">
      <alignment horizontal="center" vertical="center" wrapText="1"/>
    </xf>
    <xf numFmtId="0" fontId="7" fillId="0" borderId="21" pivotButton="0" quotePrefix="0" xfId="0"/>
    <xf numFmtId="0" fontId="7" fillId="0" borderId="22" pivotButton="0" quotePrefix="0" xfId="0"/>
    <xf numFmtId="0" fontId="7" fillId="0" borderId="23" pivotButton="0" quotePrefix="0" xfId="0"/>
    <xf numFmtId="164" fontId="18" fillId="11" borderId="1" pivotButton="0" quotePrefix="0" xfId="0"/>
    <xf numFmtId="0" fontId="7" fillId="0" borderId="24" pivotButton="0" quotePrefix="0" xfId="0"/>
    <xf numFmtId="0" fontId="7" fillId="0" borderId="25" pivotButton="0" quotePrefix="0" xfId="0"/>
    <xf numFmtId="0" fontId="7" fillId="0" borderId="26" pivotButton="0" quotePrefix="0" xfId="0"/>
    <xf numFmtId="164" fontId="10" fillId="12" borderId="1" pivotButton="0" quotePrefix="0" xfId="0"/>
    <xf numFmtId="0" fontId="20" fillId="7" borderId="4" pivotButton="0" quotePrefix="0" xfId="0"/>
    <xf numFmtId="0" fontId="21" fillId="7" borderId="11" applyAlignment="1" pivotButton="0" quotePrefix="0" xfId="0">
      <alignment horizontal="left" vertical="center" wrapText="1"/>
    </xf>
    <xf numFmtId="165" fontId="11" fillId="4" borderId="1" pivotButton="0" quotePrefix="0" xfId="0"/>
    <xf numFmtId="0" fontId="19" fillId="7" borderId="4" pivotButton="0" quotePrefix="0" xfId="0"/>
    <xf numFmtId="0" fontId="11" fillId="4" borderId="1" pivotButton="0" quotePrefix="0" xfId="0"/>
    <xf numFmtId="0" fontId="12" fillId="9" borderId="17" pivotButton="0" quotePrefix="0" xfId="0"/>
    <xf numFmtId="0" fontId="22" fillId="9" borderId="8" pivotButton="0" quotePrefix="0" xfId="0"/>
    <xf numFmtId="165" fontId="12" fillId="6" borderId="17" pivotButton="0" quotePrefix="0" xfId="0"/>
    <xf numFmtId="165" fontId="9" fillId="5" borderId="1" pivotButton="0" quotePrefix="0" xfId="0"/>
    <xf numFmtId="164" fontId="8" fillId="9" borderId="17" pivotButton="0" quotePrefix="0" xfId="0"/>
    <xf numFmtId="165" fontId="9" fillId="11" borderId="1" pivotButton="0" quotePrefix="0" xfId="0"/>
    <xf numFmtId="164" fontId="10" fillId="11" borderId="1" pivotButton="0" quotePrefix="0" xfId="0"/>
    <xf numFmtId="2" fontId="11" fillId="4" borderId="1" pivotButton="0" quotePrefix="0" xfId="0"/>
    <xf numFmtId="0" fontId="12" fillId="4" borderId="1" pivotButton="0" quotePrefix="0" xfId="0"/>
    <xf numFmtId="0" fontId="23" fillId="8" borderId="18" applyAlignment="1" pivotButton="0" quotePrefix="0" xfId="0">
      <alignment horizontal="left" vertical="center"/>
    </xf>
    <xf numFmtId="0" fontId="7" fillId="0" borderId="27" pivotButton="0" quotePrefix="0" xfId="0"/>
    <xf numFmtId="164" fontId="23" fillId="8" borderId="18" applyAlignment="1" pivotButton="0" quotePrefix="0" xfId="0">
      <alignment horizontal="right" vertical="center"/>
    </xf>
    <xf numFmtId="0" fontId="7" fillId="0" borderId="28" pivotButton="0" quotePrefix="0" xfId="0"/>
    <xf numFmtId="164" fontId="16" fillId="4" borderId="1" pivotButton="0" quotePrefix="0" xfId="0"/>
    <xf numFmtId="0" fontId="16" fillId="7" borderId="4" pivotButton="0" quotePrefix="0" xfId="0"/>
    <xf numFmtId="164" fontId="8" fillId="9" borderId="1" pivotButton="0" quotePrefix="0" xfId="0"/>
    <xf numFmtId="0" fontId="9" fillId="9" borderId="17" pivotButton="0" quotePrefix="0" xfId="0"/>
    <xf numFmtId="0" fontId="7" fillId="0" borderId="29" pivotButton="0" quotePrefix="0" xfId="0"/>
    <xf numFmtId="0" fontId="16" fillId="6" borderId="8" pivotButton="0" quotePrefix="0" xfId="0"/>
    <xf numFmtId="0" fontId="24" fillId="13" borderId="4" pivotButton="0" quotePrefix="0" xfId="0"/>
    <xf numFmtId="0" fontId="22" fillId="7" borderId="4" pivotButton="0" quotePrefix="0" xfId="0"/>
    <xf numFmtId="0" fontId="9" fillId="4" borderId="1" pivotButton="0" quotePrefix="0" xfId="0"/>
    <xf numFmtId="0" fontId="25" fillId="14" borderId="4" applyAlignment="1" pivotButton="0" quotePrefix="0" xfId="0">
      <alignment horizontal="left" vertical="center"/>
    </xf>
    <xf numFmtId="165" fontId="11" fillId="6" borderId="1" pivotButton="0" quotePrefix="0" xfId="0"/>
    <xf numFmtId="0" fontId="3" fillId="0" borderId="1" pivotButton="0" quotePrefix="0" xfId="0"/>
    <xf numFmtId="4" fontId="11" fillId="6" borderId="1" pivotButton="0" quotePrefix="0" xfId="0"/>
    <xf numFmtId="0" fontId="11" fillId="0" borderId="0" pivotButton="0" quotePrefix="0" xfId="0"/>
    <xf numFmtId="169" fontId="11" fillId="4" borderId="1" pivotButton="0" quotePrefix="0" xfId="0"/>
    <xf numFmtId="0" fontId="9" fillId="5" borderId="11" applyAlignment="1" pivotButton="0" quotePrefix="0" xfId="0">
      <alignment vertical="top" wrapText="1"/>
    </xf>
    <xf numFmtId="0" fontId="7" fillId="0" borderId="30" pivotButton="0" quotePrefix="0" xfId="0"/>
    <xf numFmtId="0" fontId="7" fillId="0" borderId="31" pivotButton="0" quotePrefix="0" xfId="0"/>
    <xf numFmtId="0" fontId="10" fillId="12" borderId="11" applyAlignment="1" pivotButton="0" quotePrefix="0" xfId="0">
      <alignment vertical="top" wrapText="1"/>
    </xf>
    <xf numFmtId="0" fontId="26" fillId="0" borderId="0" pivotButton="0" quotePrefix="0" xfId="0"/>
    <xf numFmtId="164" fontId="11" fillId="12" borderId="1" pivotButton="0" quotePrefix="0" xfId="0"/>
    <xf numFmtId="0" fontId="10" fillId="0" borderId="0" pivotButton="0" quotePrefix="0" xfId="0"/>
    <xf numFmtId="164" fontId="9" fillId="6" borderId="1" pivotButton="0" quotePrefix="0" xfId="0"/>
    <xf numFmtId="0" fontId="6" fillId="3" borderId="4" applyAlignment="1" pivotButton="0" quotePrefix="0" xfId="0">
      <alignment vertical="bottom"/>
    </xf>
    <xf numFmtId="0" fontId="9" fillId="0" borderId="1" pivotButton="0" quotePrefix="0" xfId="0"/>
    <xf numFmtId="164" fontId="11" fillId="11" borderId="1" pivotButton="0" quotePrefix="0" xfId="0"/>
    <xf numFmtId="0" fontId="0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9" pivotButton="0" quotePrefix="0" xfId="0"/>
    <xf numFmtId="0" fontId="11" fillId="5" borderId="1" pivotButton="0" quotePrefix="0" xfId="0"/>
    <xf numFmtId="0" fontId="10" fillId="5" borderId="1" pivotButton="0" quotePrefix="0" xfId="0"/>
    <xf numFmtId="0" fontId="11" fillId="6" borderId="1" pivotButton="0" quotePrefix="0" xfId="0"/>
    <xf numFmtId="0" fontId="6" fillId="3" borderId="7" pivotButton="0" quotePrefix="0" xfId="0"/>
    <xf numFmtId="0" fontId="6" fillId="3" borderId="7" applyAlignment="1" pivotButton="0" quotePrefix="0" xfId="0">
      <alignment vertical="bottom"/>
    </xf>
    <xf numFmtId="0" fontId="12" fillId="6" borderId="17" pivotButton="0" quotePrefix="0" xfId="0"/>
    <xf numFmtId="0" fontId="0" fillId="0" borderId="10" pivotButton="0" quotePrefix="0" xfId="0"/>
    <xf numFmtId="0" fontId="13" fillId="7" borderId="7" applyAlignment="1" pivotButton="0" quotePrefix="0" xfId="0">
      <alignment horizontal="left" vertical="center"/>
    </xf>
    <xf numFmtId="0" fontId="14" fillId="7" borderId="7" pivotButton="0" quotePrefix="0" xfId="0"/>
    <xf numFmtId="0" fontId="15" fillId="8" borderId="7" applyAlignment="1" pivotButton="0" quotePrefix="0" xfId="0">
      <alignment horizontal="left" vertical="center"/>
    </xf>
    <xf numFmtId="168" fontId="16" fillId="9" borderId="17" pivotButton="0" quotePrefix="0" xfId="0"/>
    <xf numFmtId="0" fontId="17" fillId="7" borderId="7" pivotButton="0" quotePrefix="0" xfId="0"/>
    <xf numFmtId="0" fontId="19" fillId="10" borderId="36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20" fillId="7" borderId="7" pivotButton="0" quotePrefix="0" xfId="0"/>
    <xf numFmtId="0" fontId="21" fillId="7" borderId="7" applyAlignment="1" pivotButton="0" quotePrefix="0" xfId="0">
      <alignment horizontal="left" vertical="center" wrapText="1"/>
    </xf>
    <xf numFmtId="0" fontId="19" fillId="7" borderId="7" pivotButton="0" quotePrefix="0" xfId="0"/>
    <xf numFmtId="0" fontId="22" fillId="9" borderId="17" pivotButton="0" quotePrefix="0" xfId="0"/>
    <xf numFmtId="0" fontId="23" fillId="8" borderId="36" applyAlignment="1" pivotButton="0" quotePrefix="0" xfId="0">
      <alignment horizontal="left" vertical="center"/>
    </xf>
    <xf numFmtId="0" fontId="0" fillId="0" borderId="27" pivotButton="0" quotePrefix="0" xfId="0"/>
    <xf numFmtId="164" fontId="23" fillId="8" borderId="36" applyAlignment="1" pivotButton="0" quotePrefix="0" xfId="0">
      <alignment horizontal="right" vertical="center"/>
    </xf>
    <xf numFmtId="0" fontId="0" fillId="0" borderId="28" pivotButton="0" quotePrefix="0" xfId="0"/>
    <xf numFmtId="0" fontId="16" fillId="7" borderId="7" pivotButton="0" quotePrefix="0" xfId="0"/>
    <xf numFmtId="0" fontId="0" fillId="0" borderId="29" pivotButton="0" quotePrefix="0" xfId="0"/>
    <xf numFmtId="0" fontId="16" fillId="6" borderId="17" pivotButton="0" quotePrefix="0" xfId="0"/>
    <xf numFmtId="0" fontId="24" fillId="13" borderId="7" pivotButton="0" quotePrefix="0" xfId="0"/>
    <xf numFmtId="0" fontId="22" fillId="7" borderId="7" pivotButton="0" quotePrefix="0" xfId="0"/>
    <xf numFmtId="0" fontId="25" fillId="14" borderId="7" applyAlignment="1" pivotButton="0" quotePrefix="0" xfId="0">
      <alignment horizontal="left" vertical="center"/>
    </xf>
    <xf numFmtId="0" fontId="9" fillId="5" borderId="7" applyAlignment="1" pivotButton="0" quotePrefix="0" xfId="0">
      <alignment vertical="top" wrapText="1"/>
    </xf>
    <xf numFmtId="0" fontId="10" fillId="12" borderId="7" applyAlignment="1" pivotButton="0" quotePrefix="0" xfId="0">
      <alignment vertical="top" wrapText="1"/>
    </xf>
  </cellXfs>
  <cellStyles count="1">
    <cellStyle name="Normal" xfId="0" builtinId="0"/>
  </cellStyles>
  <dxfs count="3">
    <dxf>
      <font/>
      <fill>
        <patternFill patternType="solid">
          <fgColor rgb="FFD8F3DC"/>
          <bgColor rgb="FFD8F3DC"/>
        </patternFill>
      </fill>
      <border/>
    </dxf>
    <dxf>
      <font/>
      <fill>
        <patternFill patternType="solid">
          <fgColor rgb="FFFFE8A3"/>
          <bgColor rgb="FFFFE8A3"/>
        </patternFill>
      </fill>
      <border/>
    </dxf>
    <dxf>
      <font/>
      <fill>
        <patternFill patternType="solid">
          <fgColor rgb="FFF8D7DA"/>
          <bgColor rgb="FFF8D7DA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5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8" defaultColWidth="14.43" defaultRowHeight="15" customHeight="1" outlineLevelCol="0"/>
  <cols>
    <col width="3" customWidth="1" style="106" min="1" max="1"/>
    <col width="44" customWidth="1" style="106" min="2" max="2"/>
    <col width="22" customWidth="1" style="106" min="3" max="3"/>
    <col width="16" customWidth="1" style="106" min="4" max="4"/>
    <col width="22" customWidth="1" style="106" min="5" max="5"/>
    <col width="14" customWidth="1" style="106" min="6" max="6"/>
    <col width="8.710000000000001" customWidth="1" style="106" min="7" max="26"/>
  </cols>
  <sheetData>
    <row r="2">
      <c r="B2" s="1" t="inlineStr">
        <is>
          <t>СВОДКА ЗАКАЗА — рентабельность и цена КП</t>
        </is>
      </c>
    </row>
    <row r="3">
      <c r="B3" s="3" t="inlineStr">
        <is>
          <t>Сначала заполните Металл и Калькуляцию. Жёлтое — ввод. Остальное считается автоматически.</t>
        </is>
      </c>
    </row>
    <row r="5">
      <c r="B5" s="107" t="inlineStr">
        <is>
          <t>ШАПКА ЗАКАЗА</t>
        </is>
      </c>
      <c r="C5" s="108" t="n"/>
      <c r="E5" s="107" t="inlineStr">
        <is>
          <t>ПАРАМЕТРЫ (зеркало)</t>
        </is>
      </c>
      <c r="F5" s="108" t="n"/>
    </row>
    <row r="6">
      <c r="B6" s="9" t="inlineStr">
        <is>
          <t>Объект</t>
        </is>
      </c>
      <c r="C6" s="23" t="n"/>
      <c r="E6" s="9" t="inlineStr">
        <is>
          <t>Наценка менеджера</t>
        </is>
      </c>
      <c r="F6" s="15">
        <f>'Параметры'!C6</f>
        <v/>
      </c>
    </row>
    <row r="7">
      <c r="B7" s="9" t="inlineStr">
        <is>
          <t>Конструкция / изделие</t>
        </is>
      </c>
      <c r="C7" s="23" t="n"/>
      <c r="E7" s="9" t="inlineStr">
        <is>
          <t>Целевая маржа</t>
        </is>
      </c>
      <c r="F7" s="15">
        <f>'Параметры'!C7</f>
        <v/>
      </c>
    </row>
    <row r="8">
      <c r="B8" s="9" t="inlineStr">
        <is>
          <t>Тип</t>
        </is>
      </c>
      <c r="C8" s="23" t="n"/>
      <c r="E8" s="9" t="inlineStr">
        <is>
          <t>Мин. маржа</t>
        </is>
      </c>
      <c r="F8" s="15">
        <f>'Параметры'!C8</f>
        <v/>
      </c>
    </row>
    <row r="9">
      <c r="B9" s="9" t="inlineStr">
        <is>
          <t>Дата расчёта</t>
        </is>
      </c>
      <c r="C9" s="32">
        <f>TODAY()</f>
        <v/>
      </c>
      <c r="E9" s="9" t="inlineStr">
        <is>
          <t>НПД</t>
        </is>
      </c>
      <c r="F9" s="15">
        <f>'Параметры'!C9</f>
        <v/>
      </c>
    </row>
    <row r="10">
      <c r="B10" s="9" t="inlineStr">
        <is>
          <t>Клиент</t>
        </is>
      </c>
      <c r="C10" s="23" t="n"/>
      <c r="E10" s="9" t="inlineStr">
        <is>
          <t>Аренда / день</t>
        </is>
      </c>
      <c r="F10" s="34">
        <f>'Параметры'!C10</f>
        <v/>
      </c>
    </row>
    <row r="11">
      <c r="B11" s="9" t="inlineStr">
        <is>
          <t>№ клиента</t>
        </is>
      </c>
      <c r="C11" s="23" t="n"/>
      <c r="E11" s="9" t="inlineStr">
        <is>
          <t>Агентские</t>
        </is>
      </c>
      <c r="F11" s="15">
        <f>'Параметры'!C12</f>
        <v/>
      </c>
    </row>
    <row r="13">
      <c r="B13" s="5" t="inlineStr">
        <is>
          <t>P&amp;L ПРОЕКТА</t>
        </is>
      </c>
      <c r="C13" s="109" t="n"/>
      <c r="D13" s="108" t="n"/>
    </row>
    <row r="14">
      <c r="B14" s="110" t="inlineStr">
        <is>
          <t>Себестоимость проекта (реальные затраты)</t>
        </is>
      </c>
      <c r="C14" s="108" t="n"/>
      <c r="D14" s="18">
        <f>'Калькуляция'!O8</f>
        <v/>
      </c>
    </row>
    <row r="15">
      <c r="B15" s="111" t="inlineStr">
        <is>
          <t xml:space="preserve">  в т.ч. закупки у поставщиков</t>
        </is>
      </c>
      <c r="C15" s="108" t="n"/>
      <c r="D15" s="34">
        <f>'Калькуляция'!O9</f>
        <v/>
      </c>
    </row>
    <row r="16">
      <c r="B16" s="111" t="inlineStr">
        <is>
          <t xml:space="preserve">  в т.ч. труд</t>
        </is>
      </c>
      <c r="C16" s="108" t="n"/>
      <c r="D16" s="34">
        <f>'Калькуляция'!O10</f>
        <v/>
      </c>
    </row>
    <row r="17">
      <c r="B17" s="111" t="inlineStr">
        <is>
          <t xml:space="preserve">  в т.ч. транспорт</t>
        </is>
      </c>
      <c r="C17" s="108" t="n"/>
      <c r="D17" s="34">
        <f>'Калькуляция'!O11</f>
        <v/>
      </c>
    </row>
    <row r="18">
      <c r="B18" s="111" t="inlineStr">
        <is>
          <t xml:space="preserve">  в т.ч. аренда цеха</t>
        </is>
      </c>
      <c r="C18" s="108" t="n"/>
      <c r="D18" s="34">
        <f>'Калькуляция'!O12</f>
        <v/>
      </c>
    </row>
    <row r="19">
      <c r="B19" s="111" t="inlineStr">
        <is>
          <t xml:space="preserve">  в т.ч. услуги / прочее</t>
        </is>
      </c>
      <c r="C19" s="108" t="n"/>
      <c r="D19" s="34">
        <f>'Калькуляция'!O13</f>
        <v/>
      </c>
    </row>
    <row r="20">
      <c r="B20" s="110" t="inlineStr">
        <is>
          <t>Наценка менеджера на закупки (часть прибыли)</t>
        </is>
      </c>
      <c r="C20" s="108" t="n"/>
      <c r="D20" s="18">
        <f>'Калькуляция'!O14</f>
        <v/>
      </c>
    </row>
    <row r="21" ht="15.75" customHeight="1" s="106">
      <c r="B21" s="111" t="inlineStr">
        <is>
          <t>Дни цеха (по строкам аренды)</t>
        </is>
      </c>
      <c r="C21" s="108" t="n"/>
      <c r="D21" s="44">
        <f>'Калькуляция'!O15</f>
        <v/>
      </c>
    </row>
    <row r="22" ht="15.75" customHeight="1" s="106"/>
    <row r="23" ht="15.75" customHeight="1" s="106">
      <c r="B23" s="5" t="inlineStr">
        <is>
          <t>ЦЕНА И МАРЖА</t>
        </is>
      </c>
      <c r="C23" s="109" t="n"/>
      <c r="D23" s="108" t="n"/>
    </row>
    <row r="24" ht="15.75" customHeight="1" s="106">
      <c r="B24" s="112" t="inlineStr">
        <is>
          <t>Цена КП (то, что выставите клиенту)</t>
        </is>
      </c>
      <c r="C24" s="108" t="n"/>
      <c r="D24" s="48" t="n">
        <v>337000</v>
      </c>
    </row>
    <row r="25" ht="15.75" customHeight="1" s="106">
      <c r="B25" s="9" t="inlineStr">
        <is>
          <t>Рекомендуемая цена при целевой марже</t>
        </is>
      </c>
      <c r="C25" s="108" t="n"/>
      <c r="D25" s="57">
        <f>IF((1-F9-F7-F11)&lt;=0,"Ошибка %",D14/(1-F9-F7-F11))</f>
        <v/>
      </c>
    </row>
    <row r="26" ht="15.75" customHeight="1" s="106">
      <c r="B26" s="9" t="inlineStr">
        <is>
          <t>Минимальная цена (при мин. марже)</t>
        </is>
      </c>
      <c r="C26" s="108" t="n"/>
      <c r="D26" s="61">
        <f>IF((1-F9-F8-F11)&lt;=0,"Ошибка %",D14/(1-F9-F8-F11))</f>
        <v/>
      </c>
    </row>
    <row r="27" ht="15.75" customHeight="1" s="106">
      <c r="B27" s="9" t="inlineStr">
        <is>
          <t>НПД с цены КП</t>
        </is>
      </c>
      <c r="C27" s="108" t="n"/>
      <c r="D27" s="34">
        <f>D24*F9</f>
        <v/>
      </c>
    </row>
    <row r="28" ht="15.75" customHeight="1" s="106">
      <c r="B28" s="9" t="inlineStr">
        <is>
          <t>Агентские с цены КП</t>
        </is>
      </c>
      <c r="C28" s="108" t="n"/>
      <c r="D28" s="34">
        <f>D24*F11</f>
        <v/>
      </c>
    </row>
    <row r="29" ht="15.75" customHeight="1" s="106">
      <c r="B29" s="110" t="inlineStr">
        <is>
          <t>Чистая прибыль при цене КП</t>
        </is>
      </c>
      <c r="C29" s="108" t="n"/>
      <c r="D29" s="18">
        <f>D24-D14-D27-D28</f>
        <v/>
      </c>
    </row>
    <row r="30" ht="15.75" customHeight="1" s="106">
      <c r="B30" s="110" t="inlineStr">
        <is>
          <t>Маржа % при цене КП (от выручки)</t>
        </is>
      </c>
      <c r="C30" s="108" t="n"/>
      <c r="D30" s="64">
        <f>IF(D24=0,0,D29/D24)</f>
        <v/>
      </c>
    </row>
    <row r="31" ht="15.75" customHeight="1" s="106">
      <c r="B31" s="110" t="inlineStr">
        <is>
          <t>Статус</t>
        </is>
      </c>
      <c r="C31" s="108" t="n"/>
      <c r="D31" s="66">
        <f>IF(D24=0,"Введите цену КП",IF(D30&lt;F8,"НИЖЕ МИНИМУМА",IF(D30&lt;F7,"НИЖЕ ЦЕЛИ","ЦЕЛЬ ДОСТИГНУТА")))</f>
        <v/>
      </c>
    </row>
    <row r="32" ht="15.75" customHeight="1" s="106"/>
    <row r="33" ht="15.75" customHeight="1" s="106">
      <c r="B33" s="107" t="inlineStr">
        <is>
          <t>ГИБКАЯ МАРЖА — таблица цен</t>
        </is>
      </c>
      <c r="C33" s="109" t="n"/>
      <c r="D33" s="109" t="n"/>
      <c r="E33" s="108" t="n"/>
    </row>
    <row r="34" ht="15.75" customHeight="1" s="106">
      <c r="B34" s="5" t="inlineStr">
        <is>
          <t>Целевая маржа</t>
        </is>
      </c>
      <c r="C34" s="5" t="inlineStr">
        <is>
          <t>Цена КП</t>
        </is>
      </c>
      <c r="D34" s="5" t="inlineStr">
        <is>
          <t>НПД</t>
        </is>
      </c>
      <c r="E34" s="5" t="inlineStr">
        <is>
          <t>Прибыль</t>
        </is>
      </c>
    </row>
    <row r="35" ht="15.75" customHeight="1" s="106">
      <c r="B35" s="70" t="n">
        <v>0.1</v>
      </c>
      <c r="C35" s="34">
        <f>IF((1-$F$9-B35-$F$11)&lt;=0,0,$D$14/(1-$F$9-B35-$F$11))</f>
        <v/>
      </c>
      <c r="D35" s="34">
        <f>C35*$F$9</f>
        <v/>
      </c>
      <c r="E35" s="34">
        <f>C35-$D$14-D35-C35*$F$11</f>
        <v/>
      </c>
    </row>
    <row r="36" ht="15.75" customHeight="1" s="106">
      <c r="B36" s="70" t="n">
        <v>0.15</v>
      </c>
      <c r="C36" s="34">
        <f>IF((1-$F$9-B36-$F$11)&lt;=0,0,$D$14/(1-$F$9-B36-$F$11))</f>
        <v/>
      </c>
      <c r="D36" s="34">
        <f>C36*$F$9</f>
        <v/>
      </c>
      <c r="E36" s="34">
        <f>C36-$D$14-D36-C36*$F$11</f>
        <v/>
      </c>
    </row>
    <row r="37" ht="15.75" customHeight="1" s="106">
      <c r="B37" s="72" t="n">
        <v>0.2</v>
      </c>
      <c r="C37" s="73">
        <f>IF((1-$F$9-B37-$F$11)&lt;=0,0,$D$14/(1-$F$9-B37-$F$11))</f>
        <v/>
      </c>
      <c r="D37" s="73">
        <f>C37*$F$9</f>
        <v/>
      </c>
      <c r="E37" s="73">
        <f>C37-$D$14-D37-C37*$F$11</f>
        <v/>
      </c>
    </row>
    <row r="38" ht="15.75" customHeight="1" s="106">
      <c r="B38" s="70" t="n">
        <v>0.25</v>
      </c>
      <c r="C38" s="34">
        <f>IF((1-$F$9-B38-$F$11)&lt;=0,0,$D$14/(1-$F$9-B38-$F$11))</f>
        <v/>
      </c>
      <c r="D38" s="34">
        <f>C38*$F$9</f>
        <v/>
      </c>
      <c r="E38" s="34">
        <f>C38-$D$14-D38-C38*$F$11</f>
        <v/>
      </c>
    </row>
    <row r="39" ht="15.75" customHeight="1" s="106">
      <c r="B39" s="70" t="n">
        <v>0.3</v>
      </c>
      <c r="C39" s="34">
        <f>IF((1-$F$9-B39-$F$11)&lt;=0,0,$D$14/(1-$F$9-B39-$F$11))</f>
        <v/>
      </c>
      <c r="D39" s="34">
        <f>C39*$F$9</f>
        <v/>
      </c>
      <c r="E39" s="34">
        <f>C39-$D$14-D39-C39*$F$11</f>
        <v/>
      </c>
    </row>
    <row r="40" ht="15.75" customHeight="1" s="106">
      <c r="B40" s="70" t="n">
        <v>0.35</v>
      </c>
      <c r="C40" s="34">
        <f>IF((1-$F$9-B40-$F$11)&lt;=0,0,$D$14/(1-$F$9-B40-$F$11))</f>
        <v/>
      </c>
      <c r="D40" s="34">
        <f>C40*$F$9</f>
        <v/>
      </c>
      <c r="E40" s="34">
        <f>C40-$D$14-D40-C40*$F$11</f>
        <v/>
      </c>
    </row>
    <row r="41" ht="15.75" customHeight="1" s="106"/>
    <row r="42" ht="15.75" customHeight="1" s="106">
      <c r="B42" s="3" t="inlineStr">
        <is>
          <t>Строка 20% — базовый ориентир. Целевую маржу меняйте на листе Параметры.</t>
        </is>
      </c>
    </row>
    <row r="43" ht="15.75" customHeight="1" s="106"/>
    <row r="44" ht="15.75" customHeight="1" s="106">
      <c r="B44" s="107" t="inlineStr">
        <is>
          <t>КОНТРОЛЬ</t>
        </is>
      </c>
      <c r="C44" s="109" t="n"/>
      <c r="D44" s="108" t="n"/>
    </row>
    <row r="45" ht="15.75" customHeight="1" s="106">
      <c r="B45" s="9" t="inlineStr">
        <is>
          <t>Доля наценки менеджера в прибыли (при цене КП)</t>
        </is>
      </c>
      <c r="C45" s="108" t="n"/>
      <c r="D45" s="15">
        <f>IF(D29&lt;=0,0,D20/D29)</f>
        <v/>
      </c>
    </row>
    <row r="46" ht="15.75" customHeight="1" s="106">
      <c r="B46" s="9" t="inlineStr">
        <is>
          <t>Выручка на день цеха</t>
        </is>
      </c>
      <c r="C46" s="108" t="n"/>
      <c r="D46" s="34">
        <f>IF(D21=0,0,D24/D21)</f>
        <v/>
      </c>
    </row>
    <row r="47" ht="15.75" customHeight="1" s="106">
      <c r="B47" s="9" t="inlineStr">
        <is>
          <t>Прибыль на день цеха</t>
        </is>
      </c>
      <c r="C47" s="108" t="n"/>
      <c r="D47" s="34">
        <f>IF(D21=0,0,D29/D21)</f>
        <v/>
      </c>
    </row>
    <row r="48" ht="15.75" customHeight="1" s="106"/>
    <row r="49" ht="15.75" customHeight="1" s="106">
      <c r="B49" s="3" t="inlineStr">
        <is>
          <t>Рабочий контур: Металл → Калькуляция → Сводка (цена КП). Лист «Касса» — только ПОСЛЕ сделки, для авансов/выплат. На расчёт цены НЕ влияет — можно не трогать.</t>
        </is>
      </c>
    </row>
    <row r="50" ht="15.75" customHeight="1" s="106"/>
    <row r="51" ht="15.75" customHeight="1" s="106"/>
    <row r="52" ht="15.75" customHeight="1" s="106"/>
    <row r="53" ht="15.75" customHeight="1" s="106"/>
    <row r="54" ht="15.75" customHeight="1" s="106"/>
    <row r="55" ht="15.75" customHeight="1" s="106"/>
    <row r="56" ht="15.75" customHeight="1" s="106"/>
    <row r="57" ht="15.75" customHeight="1" s="106"/>
    <row r="58" ht="15.75" customHeight="1" s="106"/>
    <row r="59" ht="15.75" customHeight="1" s="106"/>
    <row r="60" ht="15.75" customHeight="1" s="106"/>
    <row r="61" ht="15.75" customHeight="1" s="106"/>
    <row r="62" ht="15.75" customHeight="1" s="106"/>
    <row r="63" ht="15.75" customHeight="1" s="106"/>
    <row r="64" ht="15.75" customHeight="1" s="106"/>
    <row r="65" ht="15.75" customHeight="1" s="106"/>
    <row r="66" ht="15.75" customHeight="1" s="106"/>
    <row r="67" ht="15.75" customHeight="1" s="106"/>
    <row r="68" ht="15.75" customHeight="1" s="106"/>
    <row r="69" ht="15.75" customHeight="1" s="106"/>
    <row r="70" ht="15.75" customHeight="1" s="106"/>
    <row r="71" ht="15.75" customHeight="1" s="106"/>
    <row r="72" ht="15.75" customHeight="1" s="106"/>
    <row r="73" ht="15.75" customHeight="1" s="106"/>
    <row r="74" ht="15.75" customHeight="1" s="106"/>
    <row r="75" ht="15.75" customHeight="1" s="106"/>
    <row r="76" ht="15.75" customHeight="1" s="106"/>
    <row r="77" ht="15.75" customHeight="1" s="106"/>
    <row r="78" ht="15.75" customHeight="1" s="106"/>
    <row r="79" ht="15.75" customHeight="1" s="106"/>
    <row r="80" ht="15.75" customHeight="1" s="106"/>
    <row r="81" ht="15.75" customHeight="1" s="106"/>
    <row r="82" ht="15.75" customHeight="1" s="106"/>
    <row r="83" ht="15.75" customHeight="1" s="106"/>
    <row r="84" ht="15.75" customHeight="1" s="106"/>
    <row r="85" ht="15.75" customHeight="1" s="106"/>
    <row r="86" ht="15.75" customHeight="1" s="106"/>
    <row r="87" ht="15.75" customHeight="1" s="106"/>
    <row r="88" ht="15.75" customHeight="1" s="106"/>
    <row r="89" ht="15.75" customHeight="1" s="106"/>
    <row r="90" ht="15.75" customHeight="1" s="106"/>
    <row r="91" ht="15.75" customHeight="1" s="106"/>
    <row r="92" ht="15.75" customHeight="1" s="106"/>
    <row r="93" ht="15.75" customHeight="1" s="106"/>
    <row r="94" ht="15.75" customHeight="1" s="106"/>
    <row r="95" ht="15.75" customHeight="1" s="106"/>
    <row r="96" ht="15.75" customHeight="1" s="106"/>
    <row r="97" ht="15.75" customHeight="1" s="106"/>
    <row r="98" ht="15.75" customHeight="1" s="106"/>
    <row r="99" ht="15.75" customHeight="1" s="106"/>
    <row r="100" ht="15.75" customHeight="1" s="106"/>
    <row r="101" ht="15.75" customHeight="1" s="106"/>
    <row r="102" ht="15.75" customHeight="1" s="106"/>
    <row r="103" ht="15.75" customHeight="1" s="106"/>
    <row r="104" ht="15.75" customHeight="1" s="106"/>
    <row r="105" ht="15.75" customHeight="1" s="106"/>
    <row r="106" ht="15.75" customHeight="1" s="106"/>
    <row r="107" ht="15.75" customHeight="1" s="106"/>
    <row r="108" ht="15.75" customHeight="1" s="106"/>
    <row r="109" ht="15.75" customHeight="1" s="106"/>
    <row r="110" ht="15.75" customHeight="1" s="106"/>
    <row r="111" ht="15.75" customHeight="1" s="106"/>
    <row r="112" ht="15.75" customHeight="1" s="106"/>
    <row r="113" ht="15.75" customHeight="1" s="106"/>
    <row r="114" ht="15.75" customHeight="1" s="106"/>
    <row r="115" ht="15.75" customHeight="1" s="106"/>
    <row r="116" ht="15.75" customHeight="1" s="106"/>
    <row r="117" ht="15.75" customHeight="1" s="106"/>
    <row r="118" ht="15.75" customHeight="1" s="106"/>
    <row r="119" ht="15.75" customHeight="1" s="106"/>
    <row r="120" ht="15.75" customHeight="1" s="106"/>
    <row r="121" ht="15.75" customHeight="1" s="106"/>
    <row r="122" ht="15.75" customHeight="1" s="106"/>
    <row r="123" ht="15.75" customHeight="1" s="106"/>
    <row r="124" ht="15.75" customHeight="1" s="106"/>
    <row r="125" ht="15.75" customHeight="1" s="106"/>
    <row r="126" ht="15.75" customHeight="1" s="106"/>
    <row r="127" ht="15.75" customHeight="1" s="106"/>
    <row r="128" ht="15.75" customHeight="1" s="106"/>
    <row r="129" ht="15.75" customHeight="1" s="106"/>
    <row r="130" ht="15.75" customHeight="1" s="106"/>
    <row r="131" ht="15.75" customHeight="1" s="106"/>
    <row r="132" ht="15.75" customHeight="1" s="106"/>
    <row r="133" ht="15.75" customHeight="1" s="106"/>
    <row r="134" ht="15.75" customHeight="1" s="106"/>
    <row r="135" ht="15.75" customHeight="1" s="106"/>
    <row r="136" ht="15.75" customHeight="1" s="106"/>
    <row r="137" ht="15.75" customHeight="1" s="106"/>
    <row r="138" ht="15.75" customHeight="1" s="106"/>
    <row r="139" ht="15.75" customHeight="1" s="106"/>
    <row r="140" ht="15.75" customHeight="1" s="106"/>
    <row r="141" ht="15.75" customHeight="1" s="106"/>
    <row r="142" ht="15.75" customHeight="1" s="106"/>
    <row r="143" ht="15.75" customHeight="1" s="106"/>
    <row r="144" ht="15.75" customHeight="1" s="106"/>
    <row r="145" ht="15.75" customHeight="1" s="106"/>
    <row r="146" ht="15.75" customHeight="1" s="106"/>
    <row r="147" ht="15.75" customHeight="1" s="106"/>
    <row r="148" ht="15.75" customHeight="1" s="106"/>
    <row r="149" ht="15.75" customHeight="1" s="106"/>
    <row r="150" ht="15.75" customHeight="1" s="106"/>
    <row r="151" ht="15.75" customHeight="1" s="106"/>
    <row r="152" ht="15.75" customHeight="1" s="106"/>
    <row r="153" ht="15.75" customHeight="1" s="106"/>
    <row r="154" ht="15.75" customHeight="1" s="106"/>
    <row r="155" ht="15.75" customHeight="1" s="106"/>
    <row r="156" ht="15.75" customHeight="1" s="106"/>
    <row r="157" ht="15.75" customHeight="1" s="106"/>
    <row r="158" ht="15.75" customHeight="1" s="106"/>
    <row r="159" ht="15.75" customHeight="1" s="106"/>
    <row r="160" ht="15.75" customHeight="1" s="106"/>
    <row r="161" ht="15.75" customHeight="1" s="106"/>
    <row r="162" ht="15.75" customHeight="1" s="106"/>
    <row r="163" ht="15.75" customHeight="1" s="106"/>
    <row r="164" ht="15.75" customHeight="1" s="106"/>
    <row r="165" ht="15.75" customHeight="1" s="106"/>
    <row r="166" ht="15.75" customHeight="1" s="106"/>
    <row r="167" ht="15.75" customHeight="1" s="106"/>
    <row r="168" ht="15.75" customHeight="1" s="106"/>
    <row r="169" ht="15.75" customHeight="1" s="106"/>
    <row r="170" ht="15.75" customHeight="1" s="106"/>
    <row r="171" ht="15.75" customHeight="1" s="106"/>
    <row r="172" ht="15.75" customHeight="1" s="106"/>
    <row r="173" ht="15.75" customHeight="1" s="106"/>
    <row r="174" ht="15.75" customHeight="1" s="106"/>
    <row r="175" ht="15.75" customHeight="1" s="106"/>
    <row r="176" ht="15.75" customHeight="1" s="106"/>
    <row r="177" ht="15.75" customHeight="1" s="106"/>
    <row r="178" ht="15.75" customHeight="1" s="106"/>
    <row r="179" ht="15.75" customHeight="1" s="106"/>
    <row r="180" ht="15.75" customHeight="1" s="106"/>
    <row r="181" ht="15.75" customHeight="1" s="106"/>
    <row r="182" ht="15.75" customHeight="1" s="106"/>
    <row r="183" ht="15.75" customHeight="1" s="106"/>
    <row r="184" ht="15.75" customHeight="1" s="106"/>
    <row r="185" ht="15.75" customHeight="1" s="106"/>
    <row r="186" ht="15.75" customHeight="1" s="106"/>
    <row r="187" ht="15.75" customHeight="1" s="106"/>
    <row r="188" ht="15.75" customHeight="1" s="106"/>
    <row r="189" ht="15.75" customHeight="1" s="106"/>
    <row r="190" ht="15.75" customHeight="1" s="106"/>
    <row r="191" ht="15.75" customHeight="1" s="106"/>
    <row r="192" ht="15.75" customHeight="1" s="106"/>
    <row r="193" ht="15.75" customHeight="1" s="106"/>
    <row r="194" ht="15.75" customHeight="1" s="106"/>
    <row r="195" ht="15.75" customHeight="1" s="106"/>
    <row r="196" ht="15.75" customHeight="1" s="106"/>
    <row r="197" ht="15.75" customHeight="1" s="106"/>
    <row r="198" ht="15.75" customHeight="1" s="106"/>
    <row r="199" ht="15.75" customHeight="1" s="106"/>
    <row r="200" ht="15.75" customHeight="1" s="106"/>
    <row r="201" ht="15.75" customHeight="1" s="106"/>
    <row r="202" ht="15.75" customHeight="1" s="106"/>
    <row r="203" ht="15.75" customHeight="1" s="106"/>
    <row r="204" ht="15.75" customHeight="1" s="106"/>
    <row r="205" ht="15.75" customHeight="1" s="106"/>
    <row r="206" ht="15.75" customHeight="1" s="106"/>
    <row r="207" ht="15.75" customHeight="1" s="106"/>
    <row r="208" ht="15.75" customHeight="1" s="106"/>
    <row r="209" ht="15.75" customHeight="1" s="106"/>
    <row r="210" ht="15.75" customHeight="1" s="106"/>
    <row r="211" ht="15.75" customHeight="1" s="106"/>
    <row r="212" ht="15.75" customHeight="1" s="106"/>
    <row r="213" ht="15.75" customHeight="1" s="106"/>
    <row r="214" ht="15.75" customHeight="1" s="106"/>
    <row r="215" ht="15.75" customHeight="1" s="106"/>
    <row r="216" ht="15.75" customHeight="1" s="106"/>
    <row r="217" ht="15.75" customHeight="1" s="106"/>
    <row r="218" ht="15.75" customHeight="1" s="106"/>
    <row r="219" ht="15.75" customHeight="1" s="106"/>
    <row r="220" ht="15.75" customHeight="1" s="106"/>
    <row r="221" ht="15.75" customHeight="1" s="106"/>
    <row r="222" ht="15.75" customHeight="1" s="106"/>
    <row r="223" ht="15.75" customHeight="1" s="106"/>
    <row r="224" ht="15.75" customHeight="1" s="106"/>
    <row r="225" ht="15.75" customHeight="1" s="106"/>
    <row r="226" ht="15.75" customHeight="1" s="106"/>
    <row r="227" ht="15.75" customHeight="1" s="106"/>
    <row r="228" ht="15.75" customHeight="1" s="106"/>
    <row r="229" ht="15.75" customHeight="1" s="106"/>
    <row r="230" ht="15.75" customHeight="1" s="106"/>
    <row r="231" ht="15.75" customHeight="1" s="106"/>
    <row r="232" ht="15.75" customHeight="1" s="106"/>
    <row r="233" ht="15.75" customHeight="1" s="106"/>
    <row r="234" ht="15.75" customHeight="1" s="106"/>
    <row r="235" ht="15.75" customHeight="1" s="106"/>
    <row r="236" ht="15.75" customHeight="1" s="106"/>
    <row r="237" ht="15.75" customHeight="1" s="106"/>
    <row r="238" ht="15.75" customHeight="1" s="106"/>
    <row r="239" ht="15.75" customHeight="1" s="106"/>
    <row r="240" ht="15.75" customHeight="1" s="106"/>
    <row r="241" ht="15.75" customHeight="1" s="106"/>
    <row r="242" ht="15.75" customHeight="1" s="106"/>
    <row r="243" ht="15.75" customHeight="1" s="106"/>
    <row r="244" ht="15.75" customHeight="1" s="106"/>
    <row r="245" ht="15.75" customHeight="1" s="106"/>
    <row r="246" ht="15.75" customHeight="1" s="106"/>
    <row r="247" ht="15.75" customHeight="1" s="106"/>
    <row r="248" ht="15.75" customHeight="1" s="106"/>
    <row r="249" ht="15.75" customHeight="1" s="106"/>
    <row r="250" ht="15.75" customHeight="1" s="106"/>
    <row r="251" ht="15.75" customHeight="1" s="106"/>
    <row r="252" ht="15.75" customHeight="1" s="106"/>
    <row r="253" ht="15.75" customHeight="1" s="106"/>
    <row r="254" ht="15.75" customHeight="1" s="106"/>
    <row r="255" ht="15.75" customHeight="1" s="106"/>
    <row r="256" ht="15.75" customHeight="1" s="106"/>
    <row r="257" ht="15.75" customHeight="1" s="106"/>
    <row r="258" ht="15.75" customHeight="1" s="106"/>
    <row r="259" ht="15.75" customHeight="1" s="106"/>
    <row r="260" ht="15.75" customHeight="1" s="106"/>
    <row r="261" ht="15.75" customHeight="1" s="106"/>
    <row r="262" ht="15.75" customHeight="1" s="106"/>
    <row r="263" ht="15.75" customHeight="1" s="106"/>
    <row r="264" ht="15.75" customHeight="1" s="106"/>
    <row r="265" ht="15.75" customHeight="1" s="106"/>
    <row r="266" ht="15.75" customHeight="1" s="106"/>
    <row r="267" ht="15.75" customHeight="1" s="106"/>
    <row r="268" ht="15.75" customHeight="1" s="106"/>
    <row r="269" ht="15.75" customHeight="1" s="106"/>
    <row r="270" ht="15.75" customHeight="1" s="106"/>
    <row r="271" ht="15.75" customHeight="1" s="106"/>
    <row r="272" ht="15.75" customHeight="1" s="106"/>
    <row r="273" ht="15.75" customHeight="1" s="106"/>
    <row r="274" ht="15.75" customHeight="1" s="106"/>
    <row r="275" ht="15.75" customHeight="1" s="106"/>
    <row r="276" ht="15.75" customHeight="1" s="106"/>
    <row r="277" ht="15.75" customHeight="1" s="106"/>
    <row r="278" ht="15.75" customHeight="1" s="106"/>
    <row r="279" ht="15.75" customHeight="1" s="106"/>
    <row r="280" ht="15.75" customHeight="1" s="106"/>
    <row r="281" ht="15.75" customHeight="1" s="106"/>
    <row r="282" ht="15.75" customHeight="1" s="106"/>
    <row r="283" ht="15.75" customHeight="1" s="106"/>
    <row r="284" ht="15.75" customHeight="1" s="106"/>
    <row r="285" ht="15.75" customHeight="1" s="106"/>
    <row r="286" ht="15.75" customHeight="1" s="106"/>
    <row r="287" ht="15.75" customHeight="1" s="106"/>
    <row r="288" ht="15.75" customHeight="1" s="106"/>
    <row r="289" ht="15.75" customHeight="1" s="106"/>
    <row r="290" ht="15.75" customHeight="1" s="106"/>
    <row r="291" ht="15.75" customHeight="1" s="106"/>
    <row r="292" ht="15.75" customHeight="1" s="106"/>
    <row r="293" ht="15.75" customHeight="1" s="106"/>
    <row r="294" ht="15.75" customHeight="1" s="106"/>
    <row r="295" ht="15.75" customHeight="1" s="106"/>
    <row r="296" ht="15.75" customHeight="1" s="106"/>
    <row r="297" ht="15.75" customHeight="1" s="106"/>
    <row r="298" ht="15.75" customHeight="1" s="106"/>
    <row r="299" ht="15.75" customHeight="1" s="106"/>
    <row r="300" ht="15.75" customHeight="1" s="106"/>
    <row r="301" ht="15.75" customHeight="1" s="106"/>
    <row r="302" ht="15.75" customHeight="1" s="106"/>
    <row r="303" ht="15.75" customHeight="1" s="106"/>
    <row r="304" ht="15.75" customHeight="1" s="106"/>
    <row r="305" ht="15.75" customHeight="1" s="106"/>
    <row r="306" ht="15.75" customHeight="1" s="106"/>
    <row r="307" ht="15.75" customHeight="1" s="106"/>
    <row r="308" ht="15.75" customHeight="1" s="106"/>
    <row r="309" ht="15.75" customHeight="1" s="106"/>
    <row r="310" ht="15.75" customHeight="1" s="106"/>
    <row r="311" ht="15.75" customHeight="1" s="106"/>
    <row r="312" ht="15.75" customHeight="1" s="106"/>
    <row r="313" ht="15.75" customHeight="1" s="106"/>
    <row r="314" ht="15.75" customHeight="1" s="106"/>
    <row r="315" ht="15.75" customHeight="1" s="106"/>
    <row r="316" ht="15.75" customHeight="1" s="106"/>
    <row r="317" ht="15.75" customHeight="1" s="106"/>
    <row r="318" ht="15.75" customHeight="1" s="106"/>
    <row r="319" ht="15.75" customHeight="1" s="106"/>
    <row r="320" ht="15.75" customHeight="1" s="106"/>
    <row r="321" ht="15.75" customHeight="1" s="106"/>
    <row r="322" ht="15.75" customHeight="1" s="106"/>
    <row r="323" ht="15.75" customHeight="1" s="106"/>
    <row r="324" ht="15.75" customHeight="1" s="106"/>
    <row r="325" ht="15.75" customHeight="1" s="106"/>
    <row r="326" ht="15.75" customHeight="1" s="106"/>
    <row r="327" ht="15.75" customHeight="1" s="106"/>
    <row r="328" ht="15.75" customHeight="1" s="106"/>
    <row r="329" ht="15.75" customHeight="1" s="106"/>
    <row r="330" ht="15.75" customHeight="1" s="106"/>
    <row r="331" ht="15.75" customHeight="1" s="106"/>
    <row r="332" ht="15.75" customHeight="1" s="106"/>
    <row r="333" ht="15.75" customHeight="1" s="106"/>
    <row r="334" ht="15.75" customHeight="1" s="106"/>
    <row r="335" ht="15.75" customHeight="1" s="106"/>
    <row r="336" ht="15.75" customHeight="1" s="106"/>
    <row r="337" ht="15.75" customHeight="1" s="106"/>
    <row r="338" ht="15.75" customHeight="1" s="106"/>
    <row r="339" ht="15.75" customHeight="1" s="106"/>
    <row r="340" ht="15.75" customHeight="1" s="106"/>
    <row r="341" ht="15.75" customHeight="1" s="106"/>
    <row r="342" ht="15.75" customHeight="1" s="106"/>
    <row r="343" ht="15.75" customHeight="1" s="106"/>
    <row r="344" ht="15.75" customHeight="1" s="106"/>
    <row r="345" ht="15.75" customHeight="1" s="106"/>
    <row r="346" ht="15.75" customHeight="1" s="106"/>
    <row r="347" ht="15.75" customHeight="1" s="106"/>
    <row r="348" ht="15.75" customHeight="1" s="106"/>
    <row r="349" ht="15.75" customHeight="1" s="106"/>
    <row r="350" ht="15.75" customHeight="1" s="106"/>
    <row r="351" ht="15.75" customHeight="1" s="106"/>
    <row r="352" ht="15.75" customHeight="1" s="106"/>
    <row r="353" ht="15.75" customHeight="1" s="106"/>
    <row r="354" ht="15.75" customHeight="1" s="106"/>
    <row r="355" ht="15.75" customHeight="1" s="106"/>
    <row r="356" ht="15.75" customHeight="1" s="106"/>
    <row r="357" ht="15.75" customHeight="1" s="106"/>
    <row r="358" ht="15.75" customHeight="1" s="106"/>
    <row r="359" ht="15.75" customHeight="1" s="106"/>
    <row r="360" ht="15.75" customHeight="1" s="106"/>
    <row r="361" ht="15.75" customHeight="1" s="106"/>
    <row r="362" ht="15.75" customHeight="1" s="106"/>
    <row r="363" ht="15.75" customHeight="1" s="106"/>
    <row r="364" ht="15.75" customHeight="1" s="106"/>
    <row r="365" ht="15.75" customHeight="1" s="106"/>
    <row r="366" ht="15.75" customHeight="1" s="106"/>
    <row r="367" ht="15.75" customHeight="1" s="106"/>
    <row r="368" ht="15.75" customHeight="1" s="106"/>
    <row r="369" ht="15.75" customHeight="1" s="106"/>
    <row r="370" ht="15.75" customHeight="1" s="106"/>
    <row r="371" ht="15.75" customHeight="1" s="106"/>
    <row r="372" ht="15.75" customHeight="1" s="106"/>
    <row r="373" ht="15.75" customHeight="1" s="106"/>
    <row r="374" ht="15.75" customHeight="1" s="106"/>
    <row r="375" ht="15.75" customHeight="1" s="106"/>
    <row r="376" ht="15.75" customHeight="1" s="106"/>
    <row r="377" ht="15.75" customHeight="1" s="106"/>
    <row r="378" ht="15.75" customHeight="1" s="106"/>
    <row r="379" ht="15.75" customHeight="1" s="106"/>
    <row r="380" ht="15.75" customHeight="1" s="106"/>
    <row r="381" ht="15.75" customHeight="1" s="106"/>
    <row r="382" ht="15.75" customHeight="1" s="106"/>
    <row r="383" ht="15.75" customHeight="1" s="106"/>
    <row r="384" ht="15.75" customHeight="1" s="106"/>
    <row r="385" ht="15.75" customHeight="1" s="106"/>
    <row r="386" ht="15.75" customHeight="1" s="106"/>
    <row r="387" ht="15.75" customHeight="1" s="106"/>
    <row r="388" ht="15.75" customHeight="1" s="106"/>
    <row r="389" ht="15.75" customHeight="1" s="106"/>
    <row r="390" ht="15.75" customHeight="1" s="106"/>
    <row r="391" ht="15.75" customHeight="1" s="106"/>
    <row r="392" ht="15.75" customHeight="1" s="106"/>
    <row r="393" ht="15.75" customHeight="1" s="106"/>
    <row r="394" ht="15.75" customHeight="1" s="106"/>
    <row r="395" ht="15.75" customHeight="1" s="106"/>
    <row r="396" ht="15.75" customHeight="1" s="106"/>
    <row r="397" ht="15.75" customHeight="1" s="106"/>
    <row r="398" ht="15.75" customHeight="1" s="106"/>
    <row r="399" ht="15.75" customHeight="1" s="106"/>
    <row r="400" ht="15.75" customHeight="1" s="106"/>
    <row r="401" ht="15.75" customHeight="1" s="106"/>
    <row r="402" ht="15.75" customHeight="1" s="106"/>
    <row r="403" ht="15.75" customHeight="1" s="106"/>
    <row r="404" ht="15.75" customHeight="1" s="106"/>
    <row r="405" ht="15.75" customHeight="1" s="106"/>
    <row r="406" ht="15.75" customHeight="1" s="106"/>
    <row r="407" ht="15.75" customHeight="1" s="106"/>
    <row r="408" ht="15.75" customHeight="1" s="106"/>
    <row r="409" ht="15.75" customHeight="1" s="106"/>
    <row r="410" ht="15.75" customHeight="1" s="106"/>
    <row r="411" ht="15.75" customHeight="1" s="106"/>
    <row r="412" ht="15.75" customHeight="1" s="106"/>
    <row r="413" ht="15.75" customHeight="1" s="106"/>
    <row r="414" ht="15.75" customHeight="1" s="106"/>
    <row r="415" ht="15.75" customHeight="1" s="106"/>
    <row r="416" ht="15.75" customHeight="1" s="106"/>
    <row r="417" ht="15.75" customHeight="1" s="106"/>
    <row r="418" ht="15.75" customHeight="1" s="106"/>
    <row r="419" ht="15.75" customHeight="1" s="106"/>
    <row r="420" ht="15.75" customHeight="1" s="106"/>
    <row r="421" ht="15.75" customHeight="1" s="106"/>
    <row r="422" ht="15.75" customHeight="1" s="106"/>
    <row r="423" ht="15.75" customHeight="1" s="106"/>
    <row r="424" ht="15.75" customHeight="1" s="106"/>
    <row r="425" ht="15.75" customHeight="1" s="106"/>
    <row r="426" ht="15.75" customHeight="1" s="106"/>
    <row r="427" ht="15.75" customHeight="1" s="106"/>
    <row r="428" ht="15.75" customHeight="1" s="106"/>
    <row r="429" ht="15.75" customHeight="1" s="106"/>
    <row r="430" ht="15.75" customHeight="1" s="106"/>
    <row r="431" ht="15.75" customHeight="1" s="106"/>
    <row r="432" ht="15.75" customHeight="1" s="106"/>
    <row r="433" ht="15.75" customHeight="1" s="106"/>
    <row r="434" ht="15.75" customHeight="1" s="106"/>
    <row r="435" ht="15.75" customHeight="1" s="106"/>
    <row r="436" ht="15.75" customHeight="1" s="106"/>
    <row r="437" ht="15.75" customHeight="1" s="106"/>
    <row r="438" ht="15.75" customHeight="1" s="106"/>
    <row r="439" ht="15.75" customHeight="1" s="106"/>
    <row r="440" ht="15.75" customHeight="1" s="106"/>
    <row r="441" ht="15.75" customHeight="1" s="106"/>
    <row r="442" ht="15.75" customHeight="1" s="106"/>
    <row r="443" ht="15.75" customHeight="1" s="106"/>
    <row r="444" ht="15.75" customHeight="1" s="106"/>
    <row r="445" ht="15.75" customHeight="1" s="106"/>
    <row r="446" ht="15.75" customHeight="1" s="106"/>
    <row r="447" ht="15.75" customHeight="1" s="106"/>
    <row r="448" ht="15.75" customHeight="1" s="106"/>
    <row r="449" ht="15.75" customHeight="1" s="106"/>
    <row r="450" ht="15.75" customHeight="1" s="106"/>
    <row r="451" ht="15.75" customHeight="1" s="106"/>
    <row r="452" ht="15.75" customHeight="1" s="106"/>
    <row r="453" ht="15.75" customHeight="1" s="106"/>
    <row r="454" ht="15.75" customHeight="1" s="106"/>
    <row r="455" ht="15.75" customHeight="1" s="106"/>
    <row r="456" ht="15.75" customHeight="1" s="106"/>
    <row r="457" ht="15.75" customHeight="1" s="106"/>
    <row r="458" ht="15.75" customHeight="1" s="106"/>
    <row r="459" ht="15.75" customHeight="1" s="106"/>
    <row r="460" ht="15.75" customHeight="1" s="106"/>
    <row r="461" ht="15.75" customHeight="1" s="106"/>
    <row r="462" ht="15.75" customHeight="1" s="106"/>
    <row r="463" ht="15.75" customHeight="1" s="106"/>
    <row r="464" ht="15.75" customHeight="1" s="106"/>
    <row r="465" ht="15.75" customHeight="1" s="106"/>
    <row r="466" ht="15.75" customHeight="1" s="106"/>
    <row r="467" ht="15.75" customHeight="1" s="106"/>
    <row r="468" ht="15.75" customHeight="1" s="106"/>
    <row r="469" ht="15.75" customHeight="1" s="106"/>
    <row r="470" ht="15.75" customHeight="1" s="106"/>
    <row r="471" ht="15.75" customHeight="1" s="106"/>
    <row r="472" ht="15.75" customHeight="1" s="106"/>
    <row r="473" ht="15.75" customHeight="1" s="106"/>
    <row r="474" ht="15.75" customHeight="1" s="106"/>
    <row r="475" ht="15.75" customHeight="1" s="106"/>
    <row r="476" ht="15.75" customHeight="1" s="106"/>
    <row r="477" ht="15.75" customHeight="1" s="106"/>
    <row r="478" ht="15.75" customHeight="1" s="106"/>
    <row r="479" ht="15.75" customHeight="1" s="106"/>
    <row r="480" ht="15.75" customHeight="1" s="106"/>
    <row r="481" ht="15.75" customHeight="1" s="106"/>
    <row r="482" ht="15.75" customHeight="1" s="106"/>
    <row r="483" ht="15.75" customHeight="1" s="106"/>
    <row r="484" ht="15.75" customHeight="1" s="106"/>
    <row r="485" ht="15.75" customHeight="1" s="106"/>
    <row r="486" ht="15.75" customHeight="1" s="106"/>
    <row r="487" ht="15.75" customHeight="1" s="106"/>
    <row r="488" ht="15.75" customHeight="1" s="106"/>
    <row r="489" ht="15.75" customHeight="1" s="106"/>
    <row r="490" ht="15.75" customHeight="1" s="106"/>
    <row r="491" ht="15.75" customHeight="1" s="106"/>
    <row r="492" ht="15.75" customHeight="1" s="106"/>
    <row r="493" ht="15.75" customHeight="1" s="106"/>
    <row r="494" ht="15.75" customHeight="1" s="106"/>
    <row r="495" ht="15.75" customHeight="1" s="106"/>
    <row r="496" ht="15.75" customHeight="1" s="106"/>
    <row r="497" ht="15.75" customHeight="1" s="106"/>
    <row r="498" ht="15.75" customHeight="1" s="106"/>
    <row r="499" ht="15.75" customHeight="1" s="106"/>
    <row r="500" ht="15.75" customHeight="1" s="106"/>
    <row r="501" ht="15.75" customHeight="1" s="106"/>
    <row r="502" ht="15.75" customHeight="1" s="106"/>
    <row r="503" ht="15.75" customHeight="1" s="106"/>
    <row r="504" ht="15.75" customHeight="1" s="106"/>
    <row r="505" ht="15.75" customHeight="1" s="106"/>
    <row r="506" ht="15.75" customHeight="1" s="106"/>
    <row r="507" ht="15.75" customHeight="1" s="106"/>
    <row r="508" ht="15.75" customHeight="1" s="106"/>
    <row r="509" ht="15.75" customHeight="1" s="106"/>
    <row r="510" ht="15.75" customHeight="1" s="106"/>
    <row r="511" ht="15.75" customHeight="1" s="106"/>
    <row r="512" ht="15.75" customHeight="1" s="106"/>
    <row r="513" ht="15.75" customHeight="1" s="106"/>
    <row r="514" ht="15.75" customHeight="1" s="106"/>
    <row r="515" ht="15.75" customHeight="1" s="106"/>
    <row r="516" ht="15.75" customHeight="1" s="106"/>
    <row r="517" ht="15.75" customHeight="1" s="106"/>
    <row r="518" ht="15.75" customHeight="1" s="106"/>
    <row r="519" ht="15.75" customHeight="1" s="106"/>
    <row r="520" ht="15.75" customHeight="1" s="106"/>
    <row r="521" ht="15.75" customHeight="1" s="106"/>
    <row r="522" ht="15.75" customHeight="1" s="106"/>
    <row r="523" ht="15.75" customHeight="1" s="106"/>
    <row r="524" ht="15.75" customHeight="1" s="106"/>
    <row r="525" ht="15.75" customHeight="1" s="106"/>
    <row r="526" ht="15.75" customHeight="1" s="106"/>
    <row r="527" ht="15.75" customHeight="1" s="106"/>
    <row r="528" ht="15.75" customHeight="1" s="106"/>
    <row r="529" ht="15.75" customHeight="1" s="106"/>
    <row r="530" ht="15.75" customHeight="1" s="106"/>
    <row r="531" ht="15.75" customHeight="1" s="106"/>
    <row r="532" ht="15.75" customHeight="1" s="106"/>
    <row r="533" ht="15.75" customHeight="1" s="106"/>
    <row r="534" ht="15.75" customHeight="1" s="106"/>
    <row r="535" ht="15.75" customHeight="1" s="106"/>
    <row r="536" ht="15.75" customHeight="1" s="106"/>
    <row r="537" ht="15.75" customHeight="1" s="106"/>
    <row r="538" ht="15.75" customHeight="1" s="106"/>
    <row r="539" ht="15.75" customHeight="1" s="106"/>
    <row r="540" ht="15.75" customHeight="1" s="106"/>
    <row r="541" ht="15.75" customHeight="1" s="106"/>
    <row r="542" ht="15.75" customHeight="1" s="106"/>
    <row r="543" ht="15.75" customHeight="1" s="106"/>
    <row r="544" ht="15.75" customHeight="1" s="106"/>
    <row r="545" ht="15.75" customHeight="1" s="106"/>
    <row r="546" ht="15.75" customHeight="1" s="106"/>
    <row r="547" ht="15.75" customHeight="1" s="106"/>
    <row r="548" ht="15.75" customHeight="1" s="106"/>
    <row r="549" ht="15.75" customHeight="1" s="106"/>
    <row r="550" ht="15.75" customHeight="1" s="106"/>
    <row r="551" ht="15.75" customHeight="1" s="106"/>
    <row r="552" ht="15.75" customHeight="1" s="106"/>
    <row r="553" ht="15.75" customHeight="1" s="106"/>
    <row r="554" ht="15.75" customHeight="1" s="106"/>
    <row r="555" ht="15.75" customHeight="1" s="106"/>
    <row r="556" ht="15.75" customHeight="1" s="106"/>
    <row r="557" ht="15.75" customHeight="1" s="106"/>
    <row r="558" ht="15.75" customHeight="1" s="106"/>
    <row r="559" ht="15.75" customHeight="1" s="106"/>
    <row r="560" ht="15.75" customHeight="1" s="106"/>
    <row r="561" ht="15.75" customHeight="1" s="106"/>
    <row r="562" ht="15.75" customHeight="1" s="106"/>
    <row r="563" ht="15.75" customHeight="1" s="106"/>
    <row r="564" ht="15.75" customHeight="1" s="106"/>
    <row r="565" ht="15.75" customHeight="1" s="106"/>
    <row r="566" ht="15.75" customHeight="1" s="106"/>
    <row r="567" ht="15.75" customHeight="1" s="106"/>
    <row r="568" ht="15.75" customHeight="1" s="106"/>
    <row r="569" ht="15.75" customHeight="1" s="106"/>
    <row r="570" ht="15.75" customHeight="1" s="106"/>
    <row r="571" ht="15.75" customHeight="1" s="106"/>
    <row r="572" ht="15.75" customHeight="1" s="106"/>
    <row r="573" ht="15.75" customHeight="1" s="106"/>
    <row r="574" ht="15.75" customHeight="1" s="106"/>
    <row r="575" ht="15.75" customHeight="1" s="106"/>
    <row r="576" ht="15.75" customHeight="1" s="106"/>
    <row r="577" ht="15.75" customHeight="1" s="106"/>
    <row r="578" ht="15.75" customHeight="1" s="106"/>
    <row r="579" ht="15.75" customHeight="1" s="106"/>
    <row r="580" ht="15.75" customHeight="1" s="106"/>
    <row r="581" ht="15.75" customHeight="1" s="106"/>
    <row r="582" ht="15.75" customHeight="1" s="106"/>
    <row r="583" ht="15.75" customHeight="1" s="106"/>
    <row r="584" ht="15.75" customHeight="1" s="106"/>
    <row r="585" ht="15.75" customHeight="1" s="106"/>
    <row r="586" ht="15.75" customHeight="1" s="106"/>
    <row r="587" ht="15.75" customHeight="1" s="106"/>
    <row r="588" ht="15.75" customHeight="1" s="106"/>
    <row r="589" ht="15.75" customHeight="1" s="106"/>
    <row r="590" ht="15.75" customHeight="1" s="106"/>
    <row r="591" ht="15.75" customHeight="1" s="106"/>
    <row r="592" ht="15.75" customHeight="1" s="106"/>
    <row r="593" ht="15.75" customHeight="1" s="106"/>
    <row r="594" ht="15.75" customHeight="1" s="106"/>
    <row r="595" ht="15.75" customHeight="1" s="106"/>
    <row r="596" ht="15.75" customHeight="1" s="106"/>
    <row r="597" ht="15.75" customHeight="1" s="106"/>
    <row r="598" ht="15.75" customHeight="1" s="106"/>
    <row r="599" ht="15.75" customHeight="1" s="106"/>
    <row r="600" ht="15.75" customHeight="1" s="106"/>
    <row r="601" ht="15.75" customHeight="1" s="106"/>
    <row r="602" ht="15.75" customHeight="1" s="106"/>
    <row r="603" ht="15.75" customHeight="1" s="106"/>
    <row r="604" ht="15.75" customHeight="1" s="106"/>
    <row r="605" ht="15.75" customHeight="1" s="106"/>
    <row r="606" ht="15.75" customHeight="1" s="106"/>
    <row r="607" ht="15.75" customHeight="1" s="106"/>
    <row r="608" ht="15.75" customHeight="1" s="106"/>
    <row r="609" ht="15.75" customHeight="1" s="106"/>
    <row r="610" ht="15.75" customHeight="1" s="106"/>
    <row r="611" ht="15.75" customHeight="1" s="106"/>
    <row r="612" ht="15.75" customHeight="1" s="106"/>
    <row r="613" ht="15.75" customHeight="1" s="106"/>
    <row r="614" ht="15.75" customHeight="1" s="106"/>
    <row r="615" ht="15.75" customHeight="1" s="106"/>
    <row r="616" ht="15.75" customHeight="1" s="106"/>
    <row r="617" ht="15.75" customHeight="1" s="106"/>
    <row r="618" ht="15.75" customHeight="1" s="106"/>
    <row r="619" ht="15.75" customHeight="1" s="106"/>
    <row r="620" ht="15.75" customHeight="1" s="106"/>
    <row r="621" ht="15.75" customHeight="1" s="106"/>
    <row r="622" ht="15.75" customHeight="1" s="106"/>
    <row r="623" ht="15.75" customHeight="1" s="106"/>
    <row r="624" ht="15.75" customHeight="1" s="106"/>
    <row r="625" ht="15.75" customHeight="1" s="106"/>
    <row r="626" ht="15.75" customHeight="1" s="106"/>
    <row r="627" ht="15.75" customHeight="1" s="106"/>
    <row r="628" ht="15.75" customHeight="1" s="106"/>
    <row r="629" ht="15.75" customHeight="1" s="106"/>
    <row r="630" ht="15.75" customHeight="1" s="106"/>
    <row r="631" ht="15.75" customHeight="1" s="106"/>
    <row r="632" ht="15.75" customHeight="1" s="106"/>
    <row r="633" ht="15.75" customHeight="1" s="106"/>
    <row r="634" ht="15.75" customHeight="1" s="106"/>
    <row r="635" ht="15.75" customHeight="1" s="106"/>
    <row r="636" ht="15.75" customHeight="1" s="106"/>
    <row r="637" ht="15.75" customHeight="1" s="106"/>
    <row r="638" ht="15.75" customHeight="1" s="106"/>
    <row r="639" ht="15.75" customHeight="1" s="106"/>
    <row r="640" ht="15.75" customHeight="1" s="106"/>
    <row r="641" ht="15.75" customHeight="1" s="106"/>
    <row r="642" ht="15.75" customHeight="1" s="106"/>
    <row r="643" ht="15.75" customHeight="1" s="106"/>
    <row r="644" ht="15.75" customHeight="1" s="106"/>
    <row r="645" ht="15.75" customHeight="1" s="106"/>
    <row r="646" ht="15.75" customHeight="1" s="106"/>
    <row r="647" ht="15.75" customHeight="1" s="106"/>
    <row r="648" ht="15.75" customHeight="1" s="106"/>
    <row r="649" ht="15.75" customHeight="1" s="106"/>
    <row r="650" ht="15.75" customHeight="1" s="106"/>
    <row r="651" ht="15.75" customHeight="1" s="106"/>
    <row r="652" ht="15.75" customHeight="1" s="106"/>
    <row r="653" ht="15.75" customHeight="1" s="106"/>
    <row r="654" ht="15.75" customHeight="1" s="106"/>
    <row r="655" ht="15.75" customHeight="1" s="106"/>
    <row r="656" ht="15.75" customHeight="1" s="106"/>
    <row r="657" ht="15.75" customHeight="1" s="106"/>
    <row r="658" ht="15.75" customHeight="1" s="106"/>
    <row r="659" ht="15.75" customHeight="1" s="106"/>
    <row r="660" ht="15.75" customHeight="1" s="106"/>
    <row r="661" ht="15.75" customHeight="1" s="106"/>
    <row r="662" ht="15.75" customHeight="1" s="106"/>
    <row r="663" ht="15.75" customHeight="1" s="106"/>
    <row r="664" ht="15.75" customHeight="1" s="106"/>
    <row r="665" ht="15.75" customHeight="1" s="106"/>
    <row r="666" ht="15.75" customHeight="1" s="106"/>
    <row r="667" ht="15.75" customHeight="1" s="106"/>
    <row r="668" ht="15.75" customHeight="1" s="106"/>
    <row r="669" ht="15.75" customHeight="1" s="106"/>
    <row r="670" ht="15.75" customHeight="1" s="106"/>
    <row r="671" ht="15.75" customHeight="1" s="106"/>
    <row r="672" ht="15.75" customHeight="1" s="106"/>
    <row r="673" ht="15.75" customHeight="1" s="106"/>
    <row r="674" ht="15.75" customHeight="1" s="106"/>
    <row r="675" ht="15.75" customHeight="1" s="106"/>
    <row r="676" ht="15.75" customHeight="1" s="106"/>
    <row r="677" ht="15.75" customHeight="1" s="106"/>
    <row r="678" ht="15.75" customHeight="1" s="106"/>
    <row r="679" ht="15.75" customHeight="1" s="106"/>
    <row r="680" ht="15.75" customHeight="1" s="106"/>
    <row r="681" ht="15.75" customHeight="1" s="106"/>
    <row r="682" ht="15.75" customHeight="1" s="106"/>
    <row r="683" ht="15.75" customHeight="1" s="106"/>
    <row r="684" ht="15.75" customHeight="1" s="106"/>
    <row r="685" ht="15.75" customHeight="1" s="106"/>
    <row r="686" ht="15.75" customHeight="1" s="106"/>
    <row r="687" ht="15.75" customHeight="1" s="106"/>
    <row r="688" ht="15.75" customHeight="1" s="106"/>
    <row r="689" ht="15.75" customHeight="1" s="106"/>
    <row r="690" ht="15.75" customHeight="1" s="106"/>
    <row r="691" ht="15.75" customHeight="1" s="106"/>
    <row r="692" ht="15.75" customHeight="1" s="106"/>
    <row r="693" ht="15.75" customHeight="1" s="106"/>
    <row r="694" ht="15.75" customHeight="1" s="106"/>
    <row r="695" ht="15.75" customHeight="1" s="106"/>
    <row r="696" ht="15.75" customHeight="1" s="106"/>
    <row r="697" ht="15.75" customHeight="1" s="106"/>
    <row r="698" ht="15.75" customHeight="1" s="106"/>
    <row r="699" ht="15.75" customHeight="1" s="106"/>
    <row r="700" ht="15.75" customHeight="1" s="106"/>
    <row r="701" ht="15.75" customHeight="1" s="106"/>
    <row r="702" ht="15.75" customHeight="1" s="106"/>
    <row r="703" ht="15.75" customHeight="1" s="106"/>
    <row r="704" ht="15.75" customHeight="1" s="106"/>
    <row r="705" ht="15.75" customHeight="1" s="106"/>
    <row r="706" ht="15.75" customHeight="1" s="106"/>
    <row r="707" ht="15.75" customHeight="1" s="106"/>
    <row r="708" ht="15.75" customHeight="1" s="106"/>
    <row r="709" ht="15.75" customHeight="1" s="106"/>
    <row r="710" ht="15.75" customHeight="1" s="106"/>
    <row r="711" ht="15.75" customHeight="1" s="106"/>
    <row r="712" ht="15.75" customHeight="1" s="106"/>
    <row r="713" ht="15.75" customHeight="1" s="106"/>
    <row r="714" ht="15.75" customHeight="1" s="106"/>
    <row r="715" ht="15.75" customHeight="1" s="106"/>
    <row r="716" ht="15.75" customHeight="1" s="106"/>
    <row r="717" ht="15.75" customHeight="1" s="106"/>
    <row r="718" ht="15.75" customHeight="1" s="106"/>
    <row r="719" ht="15.75" customHeight="1" s="106"/>
    <row r="720" ht="15.75" customHeight="1" s="106"/>
    <row r="721" ht="15.75" customHeight="1" s="106"/>
    <row r="722" ht="15.75" customHeight="1" s="106"/>
    <row r="723" ht="15.75" customHeight="1" s="106"/>
    <row r="724" ht="15.75" customHeight="1" s="106"/>
    <row r="725" ht="15.75" customHeight="1" s="106"/>
    <row r="726" ht="15.75" customHeight="1" s="106"/>
    <row r="727" ht="15.75" customHeight="1" s="106"/>
    <row r="728" ht="15.75" customHeight="1" s="106"/>
    <row r="729" ht="15.75" customHeight="1" s="106"/>
    <row r="730" ht="15.75" customHeight="1" s="106"/>
    <row r="731" ht="15.75" customHeight="1" s="106"/>
    <row r="732" ht="15.75" customHeight="1" s="106"/>
    <row r="733" ht="15.75" customHeight="1" s="106"/>
    <row r="734" ht="15.75" customHeight="1" s="106"/>
    <row r="735" ht="15.75" customHeight="1" s="106"/>
    <row r="736" ht="15.75" customHeight="1" s="106"/>
    <row r="737" ht="15.75" customHeight="1" s="106"/>
    <row r="738" ht="15.75" customHeight="1" s="106"/>
    <row r="739" ht="15.75" customHeight="1" s="106"/>
    <row r="740" ht="15.75" customHeight="1" s="106"/>
    <row r="741" ht="15.75" customHeight="1" s="106"/>
    <row r="742" ht="15.75" customHeight="1" s="106"/>
    <row r="743" ht="15.75" customHeight="1" s="106"/>
    <row r="744" ht="15.75" customHeight="1" s="106"/>
    <row r="745" ht="15.75" customHeight="1" s="106"/>
    <row r="746" ht="15.75" customHeight="1" s="106"/>
    <row r="747" ht="15.75" customHeight="1" s="106"/>
    <row r="748" ht="15.75" customHeight="1" s="106"/>
    <row r="749" ht="15.75" customHeight="1" s="106"/>
    <row r="750" ht="15.75" customHeight="1" s="106"/>
    <row r="751" ht="15.75" customHeight="1" s="106"/>
    <row r="752" ht="15.75" customHeight="1" s="106"/>
    <row r="753" ht="15.75" customHeight="1" s="106"/>
    <row r="754" ht="15.75" customHeight="1" s="106"/>
    <row r="755" ht="15.75" customHeight="1" s="106"/>
    <row r="756" ht="15.75" customHeight="1" s="106"/>
    <row r="757" ht="15.75" customHeight="1" s="106"/>
    <row r="758" ht="15.75" customHeight="1" s="106"/>
    <row r="759" ht="15.75" customHeight="1" s="106"/>
    <row r="760" ht="15.75" customHeight="1" s="106"/>
    <row r="761" ht="15.75" customHeight="1" s="106"/>
    <row r="762" ht="15.75" customHeight="1" s="106"/>
    <row r="763" ht="15.75" customHeight="1" s="106"/>
    <row r="764" ht="15.75" customHeight="1" s="106"/>
    <row r="765" ht="15.75" customHeight="1" s="106"/>
    <row r="766" ht="15.75" customHeight="1" s="106"/>
    <row r="767" ht="15.75" customHeight="1" s="106"/>
    <row r="768" ht="15.75" customHeight="1" s="106"/>
    <row r="769" ht="15.75" customHeight="1" s="106"/>
    <row r="770" ht="15.75" customHeight="1" s="106"/>
    <row r="771" ht="15.75" customHeight="1" s="106"/>
    <row r="772" ht="15.75" customHeight="1" s="106"/>
    <row r="773" ht="15.75" customHeight="1" s="106"/>
    <row r="774" ht="15.75" customHeight="1" s="106"/>
    <row r="775" ht="15.75" customHeight="1" s="106"/>
    <row r="776" ht="15.75" customHeight="1" s="106"/>
    <row r="777" ht="15.75" customHeight="1" s="106"/>
    <row r="778" ht="15.75" customHeight="1" s="106"/>
    <row r="779" ht="15.75" customHeight="1" s="106"/>
    <row r="780" ht="15.75" customHeight="1" s="106"/>
    <row r="781" ht="15.75" customHeight="1" s="106"/>
    <row r="782" ht="15.75" customHeight="1" s="106"/>
    <row r="783" ht="15.75" customHeight="1" s="106"/>
    <row r="784" ht="15.75" customHeight="1" s="106"/>
    <row r="785" ht="15.75" customHeight="1" s="106"/>
    <row r="786" ht="15.75" customHeight="1" s="106"/>
    <row r="787" ht="15.75" customHeight="1" s="106"/>
    <row r="788" ht="15.75" customHeight="1" s="106"/>
    <row r="789" ht="15.75" customHeight="1" s="106"/>
    <row r="790" ht="15.75" customHeight="1" s="106"/>
    <row r="791" ht="15.75" customHeight="1" s="106"/>
    <row r="792" ht="15.75" customHeight="1" s="106"/>
    <row r="793" ht="15.75" customHeight="1" s="106"/>
    <row r="794" ht="15.75" customHeight="1" s="106"/>
    <row r="795" ht="15.75" customHeight="1" s="106"/>
    <row r="796" ht="15.75" customHeight="1" s="106"/>
    <row r="797" ht="15.75" customHeight="1" s="106"/>
    <row r="798" ht="15.75" customHeight="1" s="106"/>
    <row r="799" ht="15.75" customHeight="1" s="106"/>
    <row r="800" ht="15.75" customHeight="1" s="106"/>
    <row r="801" ht="15.75" customHeight="1" s="106"/>
    <row r="802" ht="15.75" customHeight="1" s="106"/>
    <row r="803" ht="15.75" customHeight="1" s="106"/>
    <row r="804" ht="15.75" customHeight="1" s="106"/>
    <row r="805" ht="15.75" customHeight="1" s="106"/>
    <row r="806" ht="15.75" customHeight="1" s="106"/>
    <row r="807" ht="15.75" customHeight="1" s="106"/>
    <row r="808" ht="15.75" customHeight="1" s="106"/>
    <row r="809" ht="15.75" customHeight="1" s="106"/>
    <row r="810" ht="15.75" customHeight="1" s="106"/>
    <row r="811" ht="15.75" customHeight="1" s="106"/>
    <row r="812" ht="15.75" customHeight="1" s="106"/>
    <row r="813" ht="15.75" customHeight="1" s="106"/>
    <row r="814" ht="15.75" customHeight="1" s="106"/>
    <row r="815" ht="15.75" customHeight="1" s="106"/>
    <row r="816" ht="15.75" customHeight="1" s="106"/>
    <row r="817" ht="15.75" customHeight="1" s="106"/>
    <row r="818" ht="15.75" customHeight="1" s="106"/>
    <row r="819" ht="15.75" customHeight="1" s="106"/>
    <row r="820" ht="15.75" customHeight="1" s="106"/>
    <row r="821" ht="15.75" customHeight="1" s="106"/>
    <row r="822" ht="15.75" customHeight="1" s="106"/>
    <row r="823" ht="15.75" customHeight="1" s="106"/>
    <row r="824" ht="15.75" customHeight="1" s="106"/>
    <row r="825" ht="15.75" customHeight="1" s="106"/>
    <row r="826" ht="15.75" customHeight="1" s="106"/>
    <row r="827" ht="15.75" customHeight="1" s="106"/>
    <row r="828" ht="15.75" customHeight="1" s="106"/>
    <row r="829" ht="15.75" customHeight="1" s="106"/>
    <row r="830" ht="15.75" customHeight="1" s="106"/>
    <row r="831" ht="15.75" customHeight="1" s="106"/>
    <row r="832" ht="15.75" customHeight="1" s="106"/>
    <row r="833" ht="15.75" customHeight="1" s="106"/>
    <row r="834" ht="15.75" customHeight="1" s="106"/>
    <row r="835" ht="15.75" customHeight="1" s="106"/>
    <row r="836" ht="15.75" customHeight="1" s="106"/>
    <row r="837" ht="15.75" customHeight="1" s="106"/>
    <row r="838" ht="15.75" customHeight="1" s="106"/>
    <row r="839" ht="15.75" customHeight="1" s="106"/>
    <row r="840" ht="15.75" customHeight="1" s="106"/>
    <row r="841" ht="15.75" customHeight="1" s="106"/>
    <row r="842" ht="15.75" customHeight="1" s="106"/>
    <row r="843" ht="15.75" customHeight="1" s="106"/>
    <row r="844" ht="15.75" customHeight="1" s="106"/>
    <row r="845" ht="15.75" customHeight="1" s="106"/>
    <row r="846" ht="15.75" customHeight="1" s="106"/>
    <row r="847" ht="15.75" customHeight="1" s="106"/>
    <row r="848" ht="15.75" customHeight="1" s="106"/>
    <row r="849" ht="15.75" customHeight="1" s="106"/>
    <row r="850" ht="15.75" customHeight="1" s="106"/>
    <row r="851" ht="15.75" customHeight="1" s="106"/>
    <row r="852" ht="15.75" customHeight="1" s="106"/>
    <row r="853" ht="15.75" customHeight="1" s="106"/>
    <row r="854" ht="15.75" customHeight="1" s="106"/>
    <row r="855" ht="15.75" customHeight="1" s="106"/>
    <row r="856" ht="15.75" customHeight="1" s="106"/>
    <row r="857" ht="15.75" customHeight="1" s="106"/>
    <row r="858" ht="15.75" customHeight="1" s="106"/>
    <row r="859" ht="15.75" customHeight="1" s="106"/>
    <row r="860" ht="15.75" customHeight="1" s="106"/>
    <row r="861" ht="15.75" customHeight="1" s="106"/>
    <row r="862" ht="15.75" customHeight="1" s="106"/>
    <row r="863" ht="15.75" customHeight="1" s="106"/>
    <row r="864" ht="15.75" customHeight="1" s="106"/>
    <row r="865" ht="15.75" customHeight="1" s="106"/>
    <row r="866" ht="15.75" customHeight="1" s="106"/>
    <row r="867" ht="15.75" customHeight="1" s="106"/>
    <row r="868" ht="15.75" customHeight="1" s="106"/>
    <row r="869" ht="15.75" customHeight="1" s="106"/>
    <row r="870" ht="15.75" customHeight="1" s="106"/>
    <row r="871" ht="15.75" customHeight="1" s="106"/>
    <row r="872" ht="15.75" customHeight="1" s="106"/>
    <row r="873" ht="15.75" customHeight="1" s="106"/>
    <row r="874" ht="15.75" customHeight="1" s="106"/>
    <row r="875" ht="15.75" customHeight="1" s="106"/>
    <row r="876" ht="15.75" customHeight="1" s="106"/>
    <row r="877" ht="15.75" customHeight="1" s="106"/>
    <row r="878" ht="15.75" customHeight="1" s="106"/>
    <row r="879" ht="15.75" customHeight="1" s="106"/>
    <row r="880" ht="15.75" customHeight="1" s="106"/>
    <row r="881" ht="15.75" customHeight="1" s="106"/>
    <row r="882" ht="15.75" customHeight="1" s="106"/>
    <row r="883" ht="15.75" customHeight="1" s="106"/>
    <row r="884" ht="15.75" customHeight="1" s="106"/>
    <row r="885" ht="15.75" customHeight="1" s="106"/>
    <row r="886" ht="15.75" customHeight="1" s="106"/>
    <row r="887" ht="15.75" customHeight="1" s="106"/>
    <row r="888" ht="15.75" customHeight="1" s="106"/>
    <row r="889" ht="15.75" customHeight="1" s="106"/>
    <row r="890" ht="15.75" customHeight="1" s="106"/>
    <row r="891" ht="15.75" customHeight="1" s="106"/>
    <row r="892" ht="15.75" customHeight="1" s="106"/>
    <row r="893" ht="15.75" customHeight="1" s="106"/>
    <row r="894" ht="15.75" customHeight="1" s="106"/>
    <row r="895" ht="15.75" customHeight="1" s="106"/>
    <row r="896" ht="15.75" customHeight="1" s="106"/>
    <row r="897" ht="15.75" customHeight="1" s="106"/>
    <row r="898" ht="15.75" customHeight="1" s="106"/>
    <row r="899" ht="15.75" customHeight="1" s="106"/>
    <row r="900" ht="15.75" customHeight="1" s="106"/>
    <row r="901" ht="15.75" customHeight="1" s="106"/>
    <row r="902" ht="15.75" customHeight="1" s="106"/>
    <row r="903" ht="15.75" customHeight="1" s="106"/>
    <row r="904" ht="15.75" customHeight="1" s="106"/>
    <row r="905" ht="15.75" customHeight="1" s="106"/>
    <row r="906" ht="15.75" customHeight="1" s="106"/>
    <row r="907" ht="15.75" customHeight="1" s="106"/>
    <row r="908" ht="15.75" customHeight="1" s="106"/>
    <row r="909" ht="15.75" customHeight="1" s="106"/>
    <row r="910" ht="15.75" customHeight="1" s="106"/>
    <row r="911" ht="15.75" customHeight="1" s="106"/>
    <row r="912" ht="15.75" customHeight="1" s="106"/>
    <row r="913" ht="15.75" customHeight="1" s="106"/>
    <row r="914" ht="15.75" customHeight="1" s="106"/>
    <row r="915" ht="15.75" customHeight="1" s="106"/>
    <row r="916" ht="15.75" customHeight="1" s="106"/>
    <row r="917" ht="15.75" customHeight="1" s="106"/>
    <row r="918" ht="15.75" customHeight="1" s="106"/>
    <row r="919" ht="15.75" customHeight="1" s="106"/>
    <row r="920" ht="15.75" customHeight="1" s="106"/>
    <row r="921" ht="15.75" customHeight="1" s="106"/>
    <row r="922" ht="15.75" customHeight="1" s="106"/>
    <row r="923" ht="15.75" customHeight="1" s="106"/>
    <row r="924" ht="15.75" customHeight="1" s="106"/>
    <row r="925" ht="15.75" customHeight="1" s="106"/>
    <row r="926" ht="15.75" customHeight="1" s="106"/>
    <row r="927" ht="15.75" customHeight="1" s="106"/>
    <row r="928" ht="15.75" customHeight="1" s="106"/>
    <row r="929" ht="15.75" customHeight="1" s="106"/>
    <row r="930" ht="15.75" customHeight="1" s="106"/>
    <row r="931" ht="15.75" customHeight="1" s="106"/>
    <row r="932" ht="15.75" customHeight="1" s="106"/>
    <row r="933" ht="15.75" customHeight="1" s="106"/>
    <row r="934" ht="15.75" customHeight="1" s="106"/>
    <row r="935" ht="15.75" customHeight="1" s="106"/>
    <row r="936" ht="15.75" customHeight="1" s="106"/>
    <row r="937" ht="15.75" customHeight="1" s="106"/>
    <row r="938" ht="15.75" customHeight="1" s="106"/>
    <row r="939" ht="15.75" customHeight="1" s="106"/>
    <row r="940" ht="15.75" customHeight="1" s="106"/>
    <row r="941" ht="15.75" customHeight="1" s="106"/>
    <row r="942" ht="15.75" customHeight="1" s="106"/>
    <row r="943" ht="15.75" customHeight="1" s="106"/>
    <row r="944" ht="15.75" customHeight="1" s="106"/>
    <row r="945" ht="15.75" customHeight="1" s="106"/>
    <row r="946" ht="15.75" customHeight="1" s="106"/>
    <row r="947" ht="15.75" customHeight="1" s="106"/>
    <row r="948" ht="15.75" customHeight="1" s="106"/>
    <row r="949" ht="15.75" customHeight="1" s="106"/>
    <row r="950" ht="15.75" customHeight="1" s="106"/>
    <row r="951" ht="15.75" customHeight="1" s="106"/>
    <row r="952" ht="15.75" customHeight="1" s="106"/>
    <row r="953" ht="15.75" customHeight="1" s="106"/>
    <row r="954" ht="15.75" customHeight="1" s="106"/>
    <row r="955" ht="15.75" customHeight="1" s="106"/>
    <row r="956" ht="15.75" customHeight="1" s="106"/>
    <row r="957" ht="15.75" customHeight="1" s="106"/>
    <row r="958" ht="15.75" customHeight="1" s="106"/>
    <row r="959" ht="15.75" customHeight="1" s="106"/>
    <row r="960" ht="15.75" customHeight="1" s="106"/>
    <row r="961" ht="15.75" customHeight="1" s="106"/>
    <row r="962" ht="15.75" customHeight="1" s="106"/>
    <row r="963" ht="15.75" customHeight="1" s="106"/>
    <row r="964" ht="15.75" customHeight="1" s="106"/>
    <row r="965" ht="15.75" customHeight="1" s="106"/>
    <row r="966" ht="15.75" customHeight="1" s="106"/>
    <row r="967" ht="15.75" customHeight="1" s="106"/>
    <row r="968" ht="15.75" customHeight="1" s="106"/>
    <row r="969" ht="15.75" customHeight="1" s="106"/>
    <row r="970" ht="15.75" customHeight="1" s="106"/>
    <row r="971" ht="15.75" customHeight="1" s="106"/>
    <row r="972" ht="15.75" customHeight="1" s="106"/>
    <row r="973" ht="15.75" customHeight="1" s="106"/>
    <row r="974" ht="15.75" customHeight="1" s="106"/>
    <row r="975" ht="15.75" customHeight="1" s="106"/>
    <row r="976" ht="15.75" customHeight="1" s="106"/>
    <row r="977" ht="15.75" customHeight="1" s="106"/>
    <row r="978" ht="15.75" customHeight="1" s="106"/>
    <row r="979" ht="15.75" customHeight="1" s="106"/>
    <row r="980" ht="15.75" customHeight="1" s="106"/>
    <row r="981" ht="15.75" customHeight="1" s="106"/>
    <row r="982" ht="15.75" customHeight="1" s="106"/>
    <row r="983" ht="15.75" customHeight="1" s="106"/>
    <row r="984" ht="15.75" customHeight="1" s="106"/>
    <row r="985" ht="15.75" customHeight="1" s="106"/>
    <row r="986" ht="15.75" customHeight="1" s="106"/>
    <row r="987" ht="15.75" customHeight="1" s="106"/>
    <row r="988" ht="15.75" customHeight="1" s="106"/>
    <row r="989" ht="15.75" customHeight="1" s="106"/>
    <row r="990" ht="15.75" customHeight="1" s="106"/>
    <row r="991" ht="15.75" customHeight="1" s="106"/>
    <row r="992" ht="15.75" customHeight="1" s="106"/>
    <row r="993" ht="15.75" customHeight="1" s="106"/>
    <row r="994" ht="15.75" customHeight="1" s="106"/>
    <row r="995" ht="15.75" customHeight="1" s="106"/>
    <row r="996" ht="15.75" customHeight="1" s="106"/>
    <row r="997" ht="15.75" customHeight="1" s="106"/>
    <row r="998" ht="15.75" customHeight="1" s="106"/>
    <row r="999" ht="15.75" customHeight="1" s="106"/>
    <row r="1000" ht="15.75" customHeight="1" s="106"/>
  </sheetData>
  <mergeCells count="29">
    <mergeCell ref="B47:C47"/>
    <mergeCell ref="B16:C16"/>
    <mergeCell ref="B25:C25"/>
    <mergeCell ref="B23:D23"/>
    <mergeCell ref="B3:F3"/>
    <mergeCell ref="B46:C46"/>
    <mergeCell ref="E5:F5"/>
    <mergeCell ref="B13:D13"/>
    <mergeCell ref="B33:E33"/>
    <mergeCell ref="B44:D44"/>
    <mergeCell ref="B31:C31"/>
    <mergeCell ref="B27:C27"/>
    <mergeCell ref="B18:C18"/>
    <mergeCell ref="B49:F50"/>
    <mergeCell ref="B21:C21"/>
    <mergeCell ref="B2:F2"/>
    <mergeCell ref="B14:C14"/>
    <mergeCell ref="B17:C17"/>
    <mergeCell ref="B29:C29"/>
    <mergeCell ref="B19:C19"/>
    <mergeCell ref="B28:C28"/>
    <mergeCell ref="B42:E42"/>
    <mergeCell ref="B24:C24"/>
    <mergeCell ref="B30:C30"/>
    <mergeCell ref="B15:C15"/>
    <mergeCell ref="B5:C5"/>
    <mergeCell ref="B20:C20"/>
    <mergeCell ref="B45:C45"/>
    <mergeCell ref="B26:C26"/>
  </mergeCells>
  <conditionalFormatting sqref="D31">
    <cfRule type="expression" priority="1" dxfId="0">
      <formula>$D$31="ЦЕЛЬ ДОСТИГНУТА"</formula>
    </cfRule>
    <cfRule type="expression" priority="2" dxfId="1">
      <formula>$D$31="НИЖЕ ЦЕЛИ"</formula>
    </cfRule>
    <cfRule type="expression" priority="3" dxfId="2">
      <formula>$D$31="НИЖЕ МИНИМУМА"</formula>
    </cfRule>
  </conditionalFormatting>
  <conditionalFormatting sqref="D30">
    <cfRule type="cellIs" priority="4" operator="lessThan" dxfId="2">
      <formula>$F$8</formula>
    </cfRule>
    <cfRule type="expression" priority="5" dxfId="1">
      <formula>AND($D$30&gt;=$F$8,$D$30&lt;$F$7)</formula>
    </cfRule>
    <cfRule type="cellIs" priority="6" operator="greaterThanOrEqual" dxfId="0">
      <formula>$F$7</formula>
    </cfRule>
  </conditionalFormatting>
  <dataValidations count="1">
    <dataValidation sqref="C8" showDropDown="0" showInputMessage="0" showErrorMessage="0" allowBlank="1" type="list">
      <formula1>'Параметры'!$B$34:$B$41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O107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8" defaultColWidth="14.43" defaultRowHeight="15" customHeight="1" outlineLevelCol="0"/>
  <cols>
    <col width="3" customWidth="1" style="106" min="1" max="1"/>
    <col width="16" customWidth="1" style="106" min="2" max="2"/>
    <col width="42" customWidth="1" style="106" min="3" max="3"/>
    <col width="12" customWidth="1" style="106" min="4" max="4"/>
    <col width="14" customWidth="1" style="106" min="5" max="5"/>
    <col width="10" customWidth="1" style="106" min="6" max="7"/>
    <col width="14" customWidth="1" style="106" min="8" max="8"/>
    <col width="16" customWidth="1" style="106" min="9" max="9"/>
    <col width="12" customWidth="1" style="106" min="10" max="10"/>
    <col width="3" customWidth="1" style="106" min="11" max="11"/>
    <col width="40" customWidth="1" style="106" min="12" max="12"/>
    <col width="3" customWidth="1" style="106" min="13" max="13"/>
    <col width="28" customWidth="1" style="106" min="14" max="14"/>
    <col width="14" customWidth="1" style="106" min="15" max="15"/>
    <col width="8.710000000000001" customWidth="1" style="106" min="16" max="26"/>
  </cols>
  <sheetData>
    <row r="2">
      <c r="B2" s="1" t="inlineStr">
        <is>
          <t>КАЛЬКУЛЯЦИЯ ПРОЕКТА</t>
        </is>
      </c>
    </row>
    <row r="3">
      <c r="B3" s="3" t="inlineStr">
        <is>
          <t>Жёлтые — ввод. Тип «закупка» получает наценку менеджера из Параметров. Аренда подтягивает ставку/день. Итоги справа — для Сводки.</t>
        </is>
      </c>
    </row>
    <row r="5">
      <c r="B5" s="5" t="inlineStr">
        <is>
          <t>Этап</t>
        </is>
      </c>
      <c r="C5" s="5" t="inlineStr">
        <is>
          <t>Статья / обоснование</t>
        </is>
      </c>
      <c r="D5" s="5" t="inlineStr">
        <is>
          <t>Тип</t>
        </is>
      </c>
      <c r="E5" s="5" t="inlineStr">
        <is>
          <t>Цена / ставка</t>
        </is>
      </c>
      <c r="F5" s="5" t="inlineStr">
        <is>
          <t>Кол-во</t>
        </is>
      </c>
      <c r="G5" s="5" t="inlineStr">
        <is>
          <t>Ед.</t>
        </is>
      </c>
      <c r="H5" s="5" t="inlineStr">
        <is>
          <t>Себестоимость</t>
        </is>
      </c>
      <c r="I5" s="5" t="inlineStr">
        <is>
          <t>Наценка менеджера</t>
        </is>
      </c>
      <c r="J5" s="5" t="inlineStr">
        <is>
          <t>В базу КП</t>
        </is>
      </c>
      <c r="L5" s="5" t="inlineStr">
        <is>
          <t>Примечание</t>
        </is>
      </c>
      <c r="N5" s="5" t="inlineStr">
        <is>
          <t>ИТОГИ ДЛЯ СВОДКИ</t>
        </is>
      </c>
      <c r="O5" s="108" t="n"/>
    </row>
    <row r="6">
      <c r="B6" s="113" t="inlineStr">
        <is>
          <t>1. Проектирование / замер</t>
        </is>
      </c>
      <c r="N6" s="9" t="inlineStr">
        <is>
          <t>Контроль суммы себест.</t>
        </is>
      </c>
      <c r="O6" s="18">
        <f>SUM(H6:H250)</f>
        <v/>
      </c>
    </row>
    <row r="7">
      <c r="B7" s="104" t="inlineStr">
        <is>
          <t>Проектирование</t>
        </is>
      </c>
      <c r="C7" s="23" t="inlineStr">
        <is>
          <t>Аренда на замер</t>
        </is>
      </c>
      <c r="D7" s="23" t="inlineStr">
        <is>
          <t>аренда</t>
        </is>
      </c>
      <c r="E7" s="27">
        <f>'Параметры'!$C$10</f>
        <v/>
      </c>
      <c r="F7" s="23" t="n">
        <v>0</v>
      </c>
      <c r="G7" s="23" t="inlineStr">
        <is>
          <t>день</t>
        </is>
      </c>
      <c r="H7" s="27">
        <f>IF(OR(E7="",F7=""),0,E7*F7)</f>
        <v/>
      </c>
      <c r="I7" s="27">
        <f>IF(D7="закупка",H7*'Параметры'!$C$6,0)</f>
        <v/>
      </c>
      <c r="J7" s="27">
        <f>H7+I7</f>
        <v/>
      </c>
      <c r="L7" s="23" t="inlineStr">
        <is>
          <t>Ставка аренды из Параметры</t>
        </is>
      </c>
      <c r="N7" s="9" t="inlineStr">
        <is>
          <t>Контроль наценки менеджера</t>
        </is>
      </c>
      <c r="O7" s="18">
        <f>SUM(I6:I250)</f>
        <v/>
      </c>
    </row>
    <row r="8">
      <c r="B8" s="104" t="inlineStr">
        <is>
          <t>Проектирование</t>
        </is>
      </c>
      <c r="C8" s="23" t="inlineStr">
        <is>
          <t>Транспорт по городу</t>
        </is>
      </c>
      <c r="D8" s="23" t="inlineStr">
        <is>
          <t>транспорт</t>
        </is>
      </c>
      <c r="E8" s="102" t="n">
        <v>2000</v>
      </c>
      <c r="F8" s="23" t="n">
        <v>0</v>
      </c>
      <c r="G8" s="23" t="inlineStr">
        <is>
          <t>выезд</t>
        </is>
      </c>
      <c r="H8" s="27">
        <f>IF(OR(E8="",F8=""),0,E8*F8)</f>
        <v/>
      </c>
      <c r="I8" s="27">
        <f>IF(D8="закупка",H8*'Параметры'!$C$6,0)</f>
        <v/>
      </c>
      <c r="J8" s="27">
        <f>H8+I8</f>
        <v/>
      </c>
      <c r="L8" s="23" t="n"/>
      <c r="N8" s="9" t="inlineStr">
        <is>
          <t>Себестоимость проекта</t>
        </is>
      </c>
      <c r="O8" s="18">
        <f>O6</f>
        <v/>
      </c>
    </row>
    <row r="9">
      <c r="B9" s="104" t="inlineStr">
        <is>
          <t>Проектирование</t>
        </is>
      </c>
      <c r="C9" s="23" t="inlineStr">
        <is>
          <t>Транспорт по области</t>
        </is>
      </c>
      <c r="D9" s="23" t="inlineStr">
        <is>
          <t>транспорт</t>
        </is>
      </c>
      <c r="E9" s="102" t="n">
        <v>4000</v>
      </c>
      <c r="F9" s="23" t="n">
        <v>0</v>
      </c>
      <c r="G9" s="23" t="inlineStr">
        <is>
          <t>выезд</t>
        </is>
      </c>
      <c r="H9" s="27">
        <f>IF(OR(E9="",F9=""),0,E9*F9)</f>
        <v/>
      </c>
      <c r="I9" s="27">
        <f>IF(D9="закупка",H9*'Параметры'!$C$6,0)</f>
        <v/>
      </c>
      <c r="J9" s="27">
        <f>H9+I9</f>
        <v/>
      </c>
      <c r="L9" s="23" t="n"/>
      <c r="N9" s="9" t="inlineStr">
        <is>
          <t>Закупки</t>
        </is>
      </c>
      <c r="O9" s="18">
        <f>SUMIF(D6:D250,"закупка",H6:H250)</f>
        <v/>
      </c>
    </row>
    <row r="10">
      <c r="B10" s="104" t="inlineStr">
        <is>
          <t>Проектирование</t>
        </is>
      </c>
      <c r="C10" s="23" t="inlineStr">
        <is>
          <t>Замер</t>
        </is>
      </c>
      <c r="D10" s="23" t="inlineStr">
        <is>
          <t>услуга</t>
        </is>
      </c>
      <c r="E10" s="102" t="n">
        <v>6000</v>
      </c>
      <c r="F10" s="23" t="n">
        <v>0</v>
      </c>
      <c r="G10" s="23" t="inlineStr">
        <is>
          <t>услуга</t>
        </is>
      </c>
      <c r="H10" s="27">
        <f>IF(OR(E10="",F10=""),0,E10*F10)</f>
        <v/>
      </c>
      <c r="I10" s="27">
        <f>IF(D10="закупка",H10*'Параметры'!$C$6,0)</f>
        <v/>
      </c>
      <c r="J10" s="27">
        <f>H10+I10</f>
        <v/>
      </c>
      <c r="L10" s="23" t="n"/>
      <c r="N10" s="9" t="inlineStr">
        <is>
          <t>Труд</t>
        </is>
      </c>
      <c r="O10" s="18">
        <f>SUMIF(D6:D250,"труд",H6:H250)</f>
        <v/>
      </c>
    </row>
    <row r="11">
      <c r="B11" s="104" t="inlineStr">
        <is>
          <t>Проектирование</t>
        </is>
      </c>
      <c r="C11" s="23" t="inlineStr">
        <is>
          <t>Консультация</t>
        </is>
      </c>
      <c r="D11" s="23" t="inlineStr">
        <is>
          <t>услуга</t>
        </is>
      </c>
      <c r="E11" s="102" t="n">
        <v>6000</v>
      </c>
      <c r="F11" s="23" t="n">
        <v>0</v>
      </c>
      <c r="G11" s="23" t="inlineStr">
        <is>
          <t>услуга</t>
        </is>
      </c>
      <c r="H11" s="27">
        <f>IF(OR(E11="",F11=""),0,E11*F11)</f>
        <v/>
      </c>
      <c r="I11" s="27">
        <f>IF(D11="закупка",H11*'Параметры'!$C$6,0)</f>
        <v/>
      </c>
      <c r="J11" s="27">
        <f>H11+I11</f>
        <v/>
      </c>
      <c r="L11" s="23" t="n"/>
      <c r="N11" s="9" t="inlineStr">
        <is>
          <t>Транспорт</t>
        </is>
      </c>
      <c r="O11" s="18">
        <f>SUMIF(D6:D250,"транспорт",H6:H250)</f>
        <v/>
      </c>
    </row>
    <row r="12">
      <c r="B12" s="104" t="inlineStr">
        <is>
          <t>Проектирование</t>
        </is>
      </c>
      <c r="C12" s="23" t="inlineStr">
        <is>
          <t>Проектирование, эскизы</t>
        </is>
      </c>
      <c r="D12" s="23" t="inlineStr">
        <is>
          <t>услуга</t>
        </is>
      </c>
      <c r="E12" s="102" t="n">
        <v>13000</v>
      </c>
      <c r="F12" s="23" t="n">
        <v>0</v>
      </c>
      <c r="G12" s="23" t="inlineStr">
        <is>
          <t>услуга</t>
        </is>
      </c>
      <c r="H12" s="27">
        <f>IF(OR(E12="",F12=""),0,E12*F12)</f>
        <v/>
      </c>
      <c r="I12" s="27">
        <f>IF(D12="закупка",H12*'Параметры'!$C$6,0)</f>
        <v/>
      </c>
      <c r="J12" s="27">
        <f>H12+I12</f>
        <v/>
      </c>
      <c r="L12" s="23" t="n"/>
      <c r="N12" s="9" t="inlineStr">
        <is>
          <t>Аренда</t>
        </is>
      </c>
      <c r="O12" s="18">
        <f>SUMIF(D6:D250,"аренда",H6:H250)</f>
        <v/>
      </c>
    </row>
    <row r="13">
      <c r="B13" s="113" t="inlineStr">
        <is>
          <t>2. Снять лекала / подготовка</t>
        </is>
      </c>
      <c r="N13" s="9" t="inlineStr">
        <is>
          <t>Услуги/прочее</t>
        </is>
      </c>
      <c r="O13" s="18">
        <f>O6-O9-O10-O11-O12</f>
        <v/>
      </c>
    </row>
    <row r="14">
      <c r="B14" s="104" t="inlineStr">
        <is>
          <t>Лекала</t>
        </is>
      </c>
      <c r="C14" s="23" t="inlineStr">
        <is>
          <t>Аренда</t>
        </is>
      </c>
      <c r="D14" s="23" t="inlineStr">
        <is>
          <t>аренда</t>
        </is>
      </c>
      <c r="E14" s="27">
        <f>'Параметры'!$C$10</f>
        <v/>
      </c>
      <c r="F14" s="23" t="n">
        <v>0</v>
      </c>
      <c r="G14" s="23" t="inlineStr">
        <is>
          <t>день</t>
        </is>
      </c>
      <c r="H14" s="27">
        <f>IF(OR(E14="",F14=""),0,E14*F14)</f>
        <v/>
      </c>
      <c r="I14" s="27">
        <f>IF(D14="закупка",H14*'Параметры'!$C$6,0)</f>
        <v/>
      </c>
      <c r="J14" s="27">
        <f>H14+I14</f>
        <v/>
      </c>
      <c r="L14" s="23" t="inlineStr">
        <is>
          <t>Ставка аренды из Параметры</t>
        </is>
      </c>
      <c r="N14" s="9" t="inlineStr">
        <is>
          <t>Наценка менеджера</t>
        </is>
      </c>
      <c r="O14" s="18">
        <f>O7</f>
        <v/>
      </c>
    </row>
    <row r="15">
      <c r="B15" s="104" t="inlineStr">
        <is>
          <t>Лекала</t>
        </is>
      </c>
      <c r="C15" s="23" t="inlineStr">
        <is>
          <t>Мастер</t>
        </is>
      </c>
      <c r="D15" s="23" t="inlineStr">
        <is>
          <t>труд</t>
        </is>
      </c>
      <c r="E15" s="102" t="n">
        <v>7000</v>
      </c>
      <c r="F15" s="23" t="n"/>
      <c r="G15" s="23" t="inlineStr">
        <is>
          <t>день</t>
        </is>
      </c>
      <c r="H15" s="27">
        <f>IF(OR(E15="",F15=""),0,E15*F15)</f>
        <v/>
      </c>
      <c r="I15" s="27">
        <f>IF(D15="закупка",H15*'Параметры'!$C$6,0)</f>
        <v/>
      </c>
      <c r="J15" s="27">
        <f>H15+I15</f>
        <v/>
      </c>
      <c r="L15" s="23" t="n"/>
      <c r="N15" s="9" t="inlineStr">
        <is>
          <t>Дни цеха</t>
        </is>
      </c>
      <c r="O15" s="74">
        <f>SUMIF(D6:D250,"аренда",F6:F250)</f>
        <v/>
      </c>
    </row>
    <row r="16">
      <c r="B16" s="104" t="inlineStr">
        <is>
          <t>Лекала</t>
        </is>
      </c>
      <c r="C16" s="23" t="inlineStr">
        <is>
          <t>Рабочий</t>
        </is>
      </c>
      <c r="D16" s="23" t="inlineStr">
        <is>
          <t>труд</t>
        </is>
      </c>
      <c r="E16" s="102" t="n">
        <v>5000</v>
      </c>
      <c r="F16" s="23" t="n">
        <v>0</v>
      </c>
      <c r="G16" s="23" t="inlineStr">
        <is>
          <t>день</t>
        </is>
      </c>
      <c r="H16" s="27">
        <f>IF(OR(E16="",F16=""),0,E16*F16)</f>
        <v/>
      </c>
      <c r="I16" s="27">
        <f>IF(D16="закупка",H16*'Параметры'!$C$6,0)</f>
        <v/>
      </c>
      <c r="J16" s="27">
        <f>H16+I16</f>
        <v/>
      </c>
      <c r="L16" s="23" t="n"/>
    </row>
    <row r="17">
      <c r="B17" s="104" t="inlineStr">
        <is>
          <t>Лекала</t>
        </is>
      </c>
      <c r="C17" s="23" t="inlineStr">
        <is>
          <t>Транспорт цех → объект</t>
        </is>
      </c>
      <c r="D17" s="23" t="inlineStr">
        <is>
          <t>транспорт</t>
        </is>
      </c>
      <c r="E17" s="102" t="n">
        <v>2000</v>
      </c>
      <c r="F17" s="23" t="n">
        <v>0</v>
      </c>
      <c r="G17" s="23" t="inlineStr">
        <is>
          <t>рейс</t>
        </is>
      </c>
      <c r="H17" s="27">
        <f>IF(OR(E17="",F17=""),0,E17*F17)</f>
        <v/>
      </c>
      <c r="I17" s="27">
        <f>IF(D17="закупка",H17*'Параметры'!$C$6,0)</f>
        <v/>
      </c>
      <c r="J17" s="27">
        <f>H17+I17</f>
        <v/>
      </c>
      <c r="L17" s="23" t="n"/>
    </row>
    <row r="18">
      <c r="B18" s="104" t="inlineStr">
        <is>
          <t>Лекала</t>
        </is>
      </c>
      <c r="C18" s="23" t="inlineStr">
        <is>
          <t>Транспорт объект → цех</t>
        </is>
      </c>
      <c r="D18" s="23" t="inlineStr">
        <is>
          <t>транспорт</t>
        </is>
      </c>
      <c r="E18" s="102" t="n">
        <v>2000</v>
      </c>
      <c r="F18" s="23" t="n">
        <v>0</v>
      </c>
      <c r="G18" s="23" t="inlineStr">
        <is>
          <t>рейс</t>
        </is>
      </c>
      <c r="H18" s="27">
        <f>IF(OR(E18="",F18=""),0,E18*F18)</f>
        <v/>
      </c>
      <c r="I18" s="27">
        <f>IF(D18="закупка",H18*'Параметры'!$C$6,0)</f>
        <v/>
      </c>
      <c r="J18" s="27">
        <f>H18+I18</f>
        <v/>
      </c>
      <c r="L18" s="23" t="n"/>
    </row>
    <row r="19">
      <c r="B19" s="104" t="inlineStr">
        <is>
          <t>Лекала</t>
        </is>
      </c>
      <c r="C19" s="23" t="inlineStr">
        <is>
          <t>Картоны</t>
        </is>
      </c>
      <c r="D19" s="23" t="inlineStr">
        <is>
          <t>закупка</t>
        </is>
      </c>
      <c r="E19" s="102" t="n">
        <v>300</v>
      </c>
      <c r="F19" s="23" t="n">
        <v>0</v>
      </c>
      <c r="G19" s="23" t="inlineStr">
        <is>
          <t>шт</t>
        </is>
      </c>
      <c r="H19" s="27">
        <f>IF(OR(E19="",F19=""),0,E19*F19)</f>
        <v/>
      </c>
      <c r="I19" s="27">
        <f>IF(D19="закупка",H19*'Параметры'!$C$6,0)</f>
        <v/>
      </c>
      <c r="J19" s="27">
        <f>H19+I19</f>
        <v/>
      </c>
      <c r="L19" s="23" t="n"/>
    </row>
    <row r="20">
      <c r="B20" s="104" t="inlineStr">
        <is>
          <t>Лекала</t>
        </is>
      </c>
      <c r="C20" s="23" t="inlineStr">
        <is>
          <t>Расходники</t>
        </is>
      </c>
      <c r="D20" s="23" t="inlineStr">
        <is>
          <t>закупка</t>
        </is>
      </c>
      <c r="E20" s="102" t="n">
        <v>250</v>
      </c>
      <c r="F20" s="23" t="n">
        <v>0</v>
      </c>
      <c r="G20" s="23" t="inlineStr">
        <is>
          <t>набор</t>
        </is>
      </c>
      <c r="H20" s="27">
        <f>IF(OR(E20="",F20=""),0,E20*F20)</f>
        <v/>
      </c>
      <c r="I20" s="27">
        <f>IF(D20="закупка",H20*'Параметры'!$C$6,0)</f>
        <v/>
      </c>
      <c r="J20" s="27">
        <f>H20+I20</f>
        <v/>
      </c>
      <c r="L20" s="23" t="n"/>
    </row>
    <row r="21" ht="15.75" customHeight="1" s="106">
      <c r="B21" s="104" t="inlineStr">
        <is>
          <t>Лекала</t>
        </is>
      </c>
      <c r="C21" s="23" t="inlineStr">
        <is>
          <t>Дерево</t>
        </is>
      </c>
      <c r="D21" s="23" t="inlineStr">
        <is>
          <t>закупка</t>
        </is>
      </c>
      <c r="E21" s="102" t="n">
        <v>1500</v>
      </c>
      <c r="F21" s="23" t="n">
        <v>0</v>
      </c>
      <c r="G21" s="23" t="inlineStr">
        <is>
          <t>набор</t>
        </is>
      </c>
      <c r="H21" s="27">
        <f>IF(OR(E21="",F21=""),0,E21*F21)</f>
        <v/>
      </c>
      <c r="I21" s="27">
        <f>IF(D21="закупка",H21*'Параметры'!$C$6,0)</f>
        <v/>
      </c>
      <c r="J21" s="27">
        <f>H21+I21</f>
        <v/>
      </c>
      <c r="L21" s="23" t="n"/>
    </row>
    <row r="22" ht="15.75" customHeight="1" s="106">
      <c r="B22" s="113" t="inlineStr">
        <is>
          <t>3. Закуп металла</t>
        </is>
      </c>
    </row>
    <row r="23" ht="15.75" customHeight="1" s="106">
      <c r="B23" s="104" t="inlineStr">
        <is>
          <t>Металл</t>
        </is>
      </c>
      <c r="C23" s="23" t="inlineStr">
        <is>
          <t>Транспорт: микроавтобус (2ч)</t>
        </is>
      </c>
      <c r="D23" s="23" t="inlineStr">
        <is>
          <t>транспорт</t>
        </is>
      </c>
      <c r="E23" s="102" t="n">
        <v>2000</v>
      </c>
      <c r="F23" s="23" t="n"/>
      <c r="G23" s="23" t="inlineStr">
        <is>
          <t>рейс</t>
        </is>
      </c>
      <c r="H23" s="27">
        <f>IF(OR(E23="",F23=""),0,E23*F23)</f>
        <v/>
      </c>
      <c r="I23" s="27">
        <f>IF(D23="закупка",H23*'Параметры'!$C$6,0)</f>
        <v/>
      </c>
      <c r="J23" s="27">
        <f>H23+I23</f>
        <v/>
      </c>
      <c r="L23" s="23" t="n"/>
    </row>
    <row r="24" ht="15.75" customHeight="1" s="106">
      <c r="B24" s="104" t="inlineStr">
        <is>
          <t>Металл</t>
        </is>
      </c>
      <c r="C24" s="23" t="inlineStr">
        <is>
          <t>Транспорт: бортовая 4м (1ч)</t>
        </is>
      </c>
      <c r="D24" s="23" t="inlineStr">
        <is>
          <t>транспорт</t>
        </is>
      </c>
      <c r="E24" s="102" t="n">
        <v>1500</v>
      </c>
      <c r="F24" s="23" t="n"/>
      <c r="G24" s="23" t="inlineStr">
        <is>
          <t>рейс</t>
        </is>
      </c>
      <c r="H24" s="27">
        <f>IF(OR(E24="",F24=""),0,E24*F24)</f>
        <v/>
      </c>
      <c r="I24" s="27">
        <f>IF(D24="закупка",H24*'Параметры'!$C$6,0)</f>
        <v/>
      </c>
      <c r="J24" s="27">
        <f>H24+I24</f>
        <v/>
      </c>
      <c r="L24" s="23" t="n"/>
    </row>
    <row r="25" ht="15.75" customHeight="1" s="106">
      <c r="B25" s="104" t="inlineStr">
        <is>
          <t>Металл</t>
        </is>
      </c>
      <c r="C25" s="23" t="inlineStr">
        <is>
          <t>Транспорт: бортовая 6м (1ч)</t>
        </is>
      </c>
      <c r="D25" s="23" t="inlineStr">
        <is>
          <t>транспорт</t>
        </is>
      </c>
      <c r="E25" s="102" t="n">
        <v>3500</v>
      </c>
      <c r="F25" s="23" t="n"/>
      <c r="G25" s="23" t="inlineStr">
        <is>
          <t>рейс</t>
        </is>
      </c>
      <c r="H25" s="27">
        <f>IF(OR(E25="",F25=""),0,E25*F25)</f>
        <v/>
      </c>
      <c r="I25" s="27">
        <f>IF(D25="закупка",H25*'Параметры'!$C$6,0)</f>
        <v/>
      </c>
      <c r="J25" s="27">
        <f>H25+I25</f>
        <v/>
      </c>
      <c r="L25" s="23" t="n"/>
    </row>
    <row r="26" ht="15.75" customHeight="1" s="106">
      <c r="B26" s="104" t="inlineStr">
        <is>
          <t>Металл</t>
        </is>
      </c>
      <c r="C26" s="23" t="inlineStr">
        <is>
          <t>Металлопрокат (лист Металл)</t>
        </is>
      </c>
      <c r="D26" s="23" t="inlineStr">
        <is>
          <t>закупка</t>
        </is>
      </c>
      <c r="E26" s="27">
        <f>'Металл'!H37</f>
        <v/>
      </c>
      <c r="F26" s="88" t="n"/>
      <c r="G26" s="23" t="inlineStr">
        <is>
          <t>сводка</t>
        </is>
      </c>
      <c r="H26" s="27">
        <f>IF(OR(E26="",F26=""),0,E26*F26)</f>
        <v/>
      </c>
      <c r="I26" s="27">
        <f>IF(D26="закупка",H26*'Параметры'!$C$6,0)</f>
        <v/>
      </c>
      <c r="J26" s="27">
        <f>H26+I26</f>
        <v/>
      </c>
      <c r="L26" s="23" t="inlineStr">
        <is>
          <t>Себестоимость проката (каталог, цена за шт 6м)</t>
        </is>
      </c>
    </row>
    <row r="27" ht="15.75" customHeight="1" s="106">
      <c r="B27" s="104" t="inlineStr">
        <is>
          <t>Металл</t>
        </is>
      </c>
      <c r="C27" s="23" t="inlineStr">
        <is>
          <t>Лазер / плазма (лист Металл)</t>
        </is>
      </c>
      <c r="D27" s="23" t="inlineStr">
        <is>
          <t>закупка</t>
        </is>
      </c>
      <c r="E27" s="27">
        <f>'Металл'!H52</f>
        <v/>
      </c>
      <c r="F27" s="88" t="n"/>
      <c r="G27" s="23" t="inlineStr">
        <is>
          <t>сводка</t>
        </is>
      </c>
      <c r="H27" s="27">
        <f>IF(OR(E27="",F27=""),0,E27*F27)</f>
        <v/>
      </c>
      <c r="I27" s="27">
        <f>IF(D27="закупка",H27*'Параметры'!$C$6,0)</f>
        <v/>
      </c>
      <c r="J27" s="27">
        <f>H27+I27</f>
        <v/>
      </c>
      <c r="L27" s="23" t="n"/>
    </row>
    <row r="28" ht="15.75" customHeight="1" s="106">
      <c r="B28" s="104" t="inlineStr">
        <is>
          <t>Металл</t>
        </is>
      </c>
      <c r="C28" s="23" t="inlineStr">
        <is>
          <t>Ков. элементы / спец. прокат</t>
        </is>
      </c>
      <c r="D28" s="23" t="inlineStr">
        <is>
          <t>закупка</t>
        </is>
      </c>
      <c r="E28" s="27">
        <f>'Металл'!H67</f>
        <v/>
      </c>
      <c r="F28" s="88" t="n"/>
      <c r="G28" s="23" t="inlineStr">
        <is>
          <t>сводка</t>
        </is>
      </c>
      <c r="H28" s="27">
        <f>IF(OR(E28="",F28=""),0,E28*F28)</f>
        <v/>
      </c>
      <c r="I28" s="27">
        <f>IF(D28="закупка",H28*'Параметры'!$C$6,0)</f>
        <v/>
      </c>
      <c r="J28" s="27">
        <f>H28+I28</f>
        <v/>
      </c>
      <c r="L28" s="23" t="n"/>
    </row>
    <row r="29" ht="15.75" customHeight="1" s="106">
      <c r="B29" s="104" t="inlineStr">
        <is>
          <t>Металл</t>
        </is>
      </c>
      <c r="C29" s="23" t="inlineStr">
        <is>
          <t>Токарные работы (лист Металл)</t>
        </is>
      </c>
      <c r="D29" s="23" t="inlineStr">
        <is>
          <t>закупка</t>
        </is>
      </c>
      <c r="E29" s="27">
        <f>'Металл'!H82</f>
        <v/>
      </c>
      <c r="F29" s="88" t="n"/>
      <c r="G29" s="23" t="inlineStr">
        <is>
          <t>сводка</t>
        </is>
      </c>
      <c r="H29" s="27">
        <f>IF(OR(E29="",F29=""),0,E29*F29)</f>
        <v/>
      </c>
      <c r="I29" s="27">
        <f>IF(D29="закупка",H29*'Параметры'!$C$6,0)</f>
        <v/>
      </c>
      <c r="J29" s="27">
        <f>H29+I29</f>
        <v/>
      </c>
      <c r="L29" s="23" t="n"/>
    </row>
    <row r="30" ht="15.75" customHeight="1" s="106">
      <c r="B30" s="104" t="inlineStr">
        <is>
          <t>Металл</t>
        </is>
      </c>
      <c r="C30" s="23" t="inlineStr">
        <is>
          <t>Доп. комплектующие (лист Металл)</t>
        </is>
      </c>
      <c r="D30" s="23" t="inlineStr">
        <is>
          <t>закупка</t>
        </is>
      </c>
      <c r="E30" s="27">
        <f>'Металл'!H97</f>
        <v/>
      </c>
      <c r="F30" s="88" t="n"/>
      <c r="G30" s="23" t="inlineStr">
        <is>
          <t>сводка</t>
        </is>
      </c>
      <c r="H30" s="27">
        <f>IF(OR(E30="",F30=""),0,E30*F30)</f>
        <v/>
      </c>
      <c r="I30" s="27">
        <f>IF(D30="закупка",H30*'Параметры'!$C$6,0)</f>
        <v/>
      </c>
      <c r="J30" s="27">
        <f>H30+I30</f>
        <v/>
      </c>
      <c r="L30" s="23" t="n"/>
    </row>
    <row r="31" ht="15.75" customHeight="1" s="106">
      <c r="B31" s="113" t="inlineStr">
        <is>
          <t>4. Производство</t>
        </is>
      </c>
    </row>
    <row r="32" ht="15.75" customHeight="1" s="106">
      <c r="B32" s="104" t="inlineStr">
        <is>
          <t>Производство</t>
        </is>
      </c>
      <c r="C32" s="23" t="inlineStr">
        <is>
          <t>Аренда цеха</t>
        </is>
      </c>
      <c r="D32" s="23" t="inlineStr">
        <is>
          <t>аренда</t>
        </is>
      </c>
      <c r="E32" s="27">
        <f>'Параметры'!$C$10</f>
        <v/>
      </c>
      <c r="F32" s="23" t="n"/>
      <c r="G32" s="23" t="inlineStr">
        <is>
          <t>день</t>
        </is>
      </c>
      <c r="H32" s="27">
        <f>IF(OR(E32="",F32=""),0,E32*F32)</f>
        <v/>
      </c>
      <c r="I32" s="27">
        <f>IF(D32="закупка",H32*'Параметры'!$C$6,0)</f>
        <v/>
      </c>
      <c r="J32" s="27">
        <f>H32+I32</f>
        <v/>
      </c>
      <c r="L32" s="23" t="inlineStr">
        <is>
          <t>Ставка аренды из Параметры</t>
        </is>
      </c>
    </row>
    <row r="33" ht="15.75" customHeight="1" s="106">
      <c r="B33" s="104" t="inlineStr">
        <is>
          <t>Производство</t>
        </is>
      </c>
      <c r="C33" s="23" t="inlineStr">
        <is>
          <t>Оплата труда: мастер</t>
        </is>
      </c>
      <c r="D33" s="23" t="inlineStr">
        <is>
          <t>труд</t>
        </is>
      </c>
      <c r="E33" s="102" t="n">
        <v>6000</v>
      </c>
      <c r="F33" s="23" t="n"/>
      <c r="G33" s="23" t="inlineStr">
        <is>
          <t>день</t>
        </is>
      </c>
      <c r="H33" s="27">
        <f>IF(OR(E33="",F33=""),0,E33*F33)</f>
        <v/>
      </c>
      <c r="I33" s="27">
        <f>IF(D33="закупка",H33*'Параметры'!$C$6,0)</f>
        <v/>
      </c>
      <c r="J33" s="27">
        <f>H33+I33</f>
        <v/>
      </c>
      <c r="L33" s="23" t="inlineStr">
        <is>
          <t>ФИО в примечании</t>
        </is>
      </c>
    </row>
    <row r="34" ht="15.75" customHeight="1" s="106">
      <c r="B34" s="104" t="inlineStr">
        <is>
          <t>Производство</t>
        </is>
      </c>
      <c r="C34" s="23" t="inlineStr">
        <is>
          <t>Оплата труда: рабочий</t>
        </is>
      </c>
      <c r="D34" s="23" t="inlineStr">
        <is>
          <t>труд</t>
        </is>
      </c>
      <c r="E34" s="102" t="n">
        <v>4000</v>
      </c>
      <c r="F34" s="23" t="n"/>
      <c r="G34" s="23" t="inlineStr">
        <is>
          <t>день</t>
        </is>
      </c>
      <c r="H34" s="27">
        <f>IF(OR(E34="",F34=""),0,E34*F34)</f>
        <v/>
      </c>
      <c r="I34" s="27">
        <f>IF(D34="закупка",H34*'Параметры'!$C$6,0)</f>
        <v/>
      </c>
      <c r="J34" s="27">
        <f>H34+I34</f>
        <v/>
      </c>
      <c r="L34" s="23" t="n"/>
    </row>
    <row r="35" ht="15.75" customHeight="1" s="106">
      <c r="B35" s="104" t="inlineStr">
        <is>
          <t>Производство</t>
        </is>
      </c>
      <c r="C35" s="23" t="inlineStr">
        <is>
          <t>Оплата труда: доп.1</t>
        </is>
      </c>
      <c r="D35" s="23" t="inlineStr">
        <is>
          <t>труд</t>
        </is>
      </c>
      <c r="E35" s="102" t="n">
        <v>6000</v>
      </c>
      <c r="F35" s="23" t="n"/>
      <c r="G35" s="23" t="inlineStr">
        <is>
          <t>день</t>
        </is>
      </c>
      <c r="H35" s="27">
        <f>IF(OR(E35="",F35=""),0,E35*F35)</f>
        <v/>
      </c>
      <c r="I35" s="27">
        <f>IF(D35="закупка",H35*'Параметры'!$C$6,0)</f>
        <v/>
      </c>
      <c r="J35" s="27">
        <f>H35+I35</f>
        <v/>
      </c>
      <c r="L35" s="23" t="n"/>
    </row>
    <row r="36" ht="15.75" customHeight="1" s="106">
      <c r="B36" s="104" t="inlineStr">
        <is>
          <t>Производство</t>
        </is>
      </c>
      <c r="C36" s="23" t="inlineStr">
        <is>
          <t>Оплата труда: доп.2</t>
        </is>
      </c>
      <c r="D36" s="23" t="inlineStr">
        <is>
          <t>труд</t>
        </is>
      </c>
      <c r="E36" s="102" t="n">
        <v>4000</v>
      </c>
      <c r="F36" s="23" t="n"/>
      <c r="G36" s="23" t="inlineStr">
        <is>
          <t>день</t>
        </is>
      </c>
      <c r="H36" s="27">
        <f>IF(OR(E36="",F36=""),0,E36*F36)</f>
        <v/>
      </c>
      <c r="I36" s="27">
        <f>IF(D36="закупка",H36*'Параметры'!$C$6,0)</f>
        <v/>
      </c>
      <c r="J36" s="27">
        <f>H36+I36</f>
        <v/>
      </c>
      <c r="L36" s="23" t="n"/>
    </row>
    <row r="37" ht="15.75" customHeight="1" s="106">
      <c r="B37" s="113" t="inlineStr">
        <is>
          <t>5. Предмонтаж</t>
        </is>
      </c>
    </row>
    <row r="38" ht="15.75" customHeight="1" s="106">
      <c r="B38" s="104" t="inlineStr">
        <is>
          <t>Предмонтаж</t>
        </is>
      </c>
      <c r="C38" s="23" t="inlineStr">
        <is>
          <t>Аренда</t>
        </is>
      </c>
      <c r="D38" s="23" t="inlineStr">
        <is>
          <t>аренда</t>
        </is>
      </c>
      <c r="E38" s="27">
        <f>'Параметры'!$C$10</f>
        <v/>
      </c>
      <c r="F38" s="23" t="n"/>
      <c r="G38" s="23" t="inlineStr">
        <is>
          <t>день</t>
        </is>
      </c>
      <c r="H38" s="27">
        <f>IF(OR(E38="",F38=""),0,E38*F38)</f>
        <v/>
      </c>
      <c r="I38" s="27">
        <f>IF(D38="закупка",H38*'Параметры'!$C$6,0)</f>
        <v/>
      </c>
      <c r="J38" s="27">
        <f>H38+I38</f>
        <v/>
      </c>
      <c r="L38" s="23" t="inlineStr">
        <is>
          <t>Ставка аренды из Параметры</t>
        </is>
      </c>
    </row>
    <row r="39" ht="15.75" customHeight="1" s="106">
      <c r="B39" s="104" t="inlineStr">
        <is>
          <t>Предмонтаж</t>
        </is>
      </c>
      <c r="C39" s="23" t="inlineStr">
        <is>
          <t>Монтажники</t>
        </is>
      </c>
      <c r="D39" s="23" t="inlineStr">
        <is>
          <t>труд</t>
        </is>
      </c>
      <c r="E39" s="102" t="n">
        <v>7300</v>
      </c>
      <c r="F39" s="23" t="n">
        <v>0</v>
      </c>
      <c r="G39" s="23" t="inlineStr">
        <is>
          <t>день</t>
        </is>
      </c>
      <c r="H39" s="27">
        <f>IF(OR(E39="",F39=""),0,E39*F39)</f>
        <v/>
      </c>
      <c r="I39" s="27">
        <f>IF(D39="закупка",H39*'Параметры'!$C$6,0)</f>
        <v/>
      </c>
      <c r="J39" s="27">
        <f>H39+I39</f>
        <v/>
      </c>
      <c r="L39" s="23" t="n"/>
    </row>
    <row r="40" ht="15.75" customHeight="1" s="106">
      <c r="B40" s="104" t="inlineStr">
        <is>
          <t>Предмонтаж</t>
        </is>
      </c>
      <c r="C40" s="23" t="inlineStr">
        <is>
          <t>Помощник</t>
        </is>
      </c>
      <c r="D40" s="23" t="inlineStr">
        <is>
          <t>труд</t>
        </is>
      </c>
      <c r="E40" s="102" t="n">
        <v>5000</v>
      </c>
      <c r="F40" s="23" t="n">
        <v>0</v>
      </c>
      <c r="G40" s="23" t="inlineStr">
        <is>
          <t>день</t>
        </is>
      </c>
      <c r="H40" s="27">
        <f>IF(OR(E40="",F40=""),0,E40*F40)</f>
        <v/>
      </c>
      <c r="I40" s="27">
        <f>IF(D40="закупка",H40*'Параметры'!$C$6,0)</f>
        <v/>
      </c>
      <c r="J40" s="27">
        <f>H40+I40</f>
        <v/>
      </c>
      <c r="L40" s="23" t="n"/>
    </row>
    <row r="41" ht="15.75" customHeight="1" s="106">
      <c r="B41" s="104" t="inlineStr">
        <is>
          <t>Предмонтаж</t>
        </is>
      </c>
      <c r="C41" s="23" t="inlineStr">
        <is>
          <t>Транспорт цех → объект</t>
        </is>
      </c>
      <c r="D41" s="23" t="inlineStr">
        <is>
          <t>транспорт</t>
        </is>
      </c>
      <c r="E41" s="102" t="n">
        <v>2000</v>
      </c>
      <c r="F41" s="23" t="n">
        <v>0</v>
      </c>
      <c r="G41" s="23" t="inlineStr">
        <is>
          <t>рейс</t>
        </is>
      </c>
      <c r="H41" s="27">
        <f>IF(OR(E41="",F41=""),0,E41*F41)</f>
        <v/>
      </c>
      <c r="I41" s="27">
        <f>IF(D41="закупка",H41*'Параметры'!$C$6,0)</f>
        <v/>
      </c>
      <c r="J41" s="27">
        <f>H41+I41</f>
        <v/>
      </c>
      <c r="L41" s="23" t="n"/>
    </row>
    <row r="42" ht="15.75" customHeight="1" s="106">
      <c r="B42" s="104" t="inlineStr">
        <is>
          <t>Предмонтаж</t>
        </is>
      </c>
      <c r="C42" s="23" t="inlineStr">
        <is>
          <t>Транспорт объект → цех</t>
        </is>
      </c>
      <c r="D42" s="23" t="inlineStr">
        <is>
          <t>транспорт</t>
        </is>
      </c>
      <c r="E42" s="102" t="n">
        <v>2000</v>
      </c>
      <c r="F42" s="23" t="n">
        <v>0</v>
      </c>
      <c r="G42" s="23" t="inlineStr">
        <is>
          <t>рейс</t>
        </is>
      </c>
      <c r="H42" s="27">
        <f>IF(OR(E42="",F42=""),0,E42*F42)</f>
        <v/>
      </c>
      <c r="I42" s="27">
        <f>IF(D42="закупка",H42*'Параметры'!$C$6,0)</f>
        <v/>
      </c>
      <c r="J42" s="27">
        <f>H42+I42</f>
        <v/>
      </c>
      <c r="L42" s="23" t="n"/>
    </row>
    <row r="43" ht="15.75" customHeight="1" s="106">
      <c r="B43" s="104" t="inlineStr">
        <is>
          <t>Предмонтаж</t>
        </is>
      </c>
      <c r="C43" s="23" t="inlineStr">
        <is>
          <t>Такси</t>
        </is>
      </c>
      <c r="D43" s="23" t="inlineStr">
        <is>
          <t>транспорт</t>
        </is>
      </c>
      <c r="E43" s="102" t="n">
        <v>1500</v>
      </c>
      <c r="F43" s="23" t="n">
        <v>0</v>
      </c>
      <c r="G43" s="23" t="inlineStr">
        <is>
          <t>поездка</t>
        </is>
      </c>
      <c r="H43" s="27">
        <f>IF(OR(E43="",F43=""),0,E43*F43)</f>
        <v/>
      </c>
      <c r="I43" s="27">
        <f>IF(D43="закупка",H43*'Параметры'!$C$6,0)</f>
        <v/>
      </c>
      <c r="J43" s="27">
        <f>H43+I43</f>
        <v/>
      </c>
      <c r="L43" s="23" t="n"/>
    </row>
    <row r="44" ht="15.75" customHeight="1" s="106">
      <c r="B44" s="113" t="inlineStr">
        <is>
          <t>6. Покраска эмалью</t>
        </is>
      </c>
    </row>
    <row r="45" ht="15.75" customHeight="1" s="106">
      <c r="B45" s="104" t="inlineStr">
        <is>
          <t>Покраска эмаль</t>
        </is>
      </c>
      <c r="C45" s="23" t="inlineStr">
        <is>
          <t>Аренда</t>
        </is>
      </c>
      <c r="D45" s="23" t="inlineStr">
        <is>
          <t>аренда</t>
        </is>
      </c>
      <c r="E45" s="27">
        <f>'Параметры'!$C$10</f>
        <v/>
      </c>
      <c r="F45" s="23" t="n">
        <v>0</v>
      </c>
      <c r="G45" s="23" t="inlineStr">
        <is>
          <t>день</t>
        </is>
      </c>
      <c r="H45" s="27">
        <f>IF(OR(E45="",F45=""),0,E45*F45)</f>
        <v/>
      </c>
      <c r="I45" s="27">
        <f>IF(D45="закупка",H45*'Параметры'!$C$6,0)</f>
        <v/>
      </c>
      <c r="J45" s="27">
        <f>H45+I45</f>
        <v/>
      </c>
      <c r="L45" s="23" t="inlineStr">
        <is>
          <t>Ставка аренды из Параметры</t>
        </is>
      </c>
    </row>
    <row r="46" ht="15.75" customHeight="1" s="106">
      <c r="B46" s="104" t="inlineStr">
        <is>
          <t>Покраска эмаль</t>
        </is>
      </c>
      <c r="C46" s="23" t="inlineStr">
        <is>
          <t>Маляр</t>
        </is>
      </c>
      <c r="D46" s="23" t="inlineStr">
        <is>
          <t>труд</t>
        </is>
      </c>
      <c r="E46" s="102" t="n">
        <v>3000</v>
      </c>
      <c r="F46" s="23" t="n">
        <v>0</v>
      </c>
      <c r="G46" s="23" t="inlineStr">
        <is>
          <t>день</t>
        </is>
      </c>
      <c r="H46" s="27">
        <f>IF(OR(E46="",F46=""),0,E46*F46)</f>
        <v/>
      </c>
      <c r="I46" s="27">
        <f>IF(D46="закупка",H46*'Параметры'!$C$6,0)</f>
        <v/>
      </c>
      <c r="J46" s="27">
        <f>H46+I46</f>
        <v/>
      </c>
      <c r="L46" s="23" t="n"/>
    </row>
    <row r="47" ht="15.75" customHeight="1" s="106">
      <c r="B47" s="104" t="inlineStr">
        <is>
          <t>Покраска эмаль</t>
        </is>
      </c>
      <c r="C47" s="23" t="inlineStr">
        <is>
          <t>Рабочий</t>
        </is>
      </c>
      <c r="D47" s="23" t="inlineStr">
        <is>
          <t>труд</t>
        </is>
      </c>
      <c r="E47" s="102" t="n">
        <v>5000</v>
      </c>
      <c r="F47" s="23" t="n">
        <v>0</v>
      </c>
      <c r="G47" s="23" t="inlineStr">
        <is>
          <t>день</t>
        </is>
      </c>
      <c r="H47" s="27">
        <f>IF(OR(E47="",F47=""),0,E47*F47)</f>
        <v/>
      </c>
      <c r="I47" s="27">
        <f>IF(D47="закупка",H47*'Параметры'!$C$6,0)</f>
        <v/>
      </c>
      <c r="J47" s="27">
        <f>H47+I47</f>
        <v/>
      </c>
      <c r="L47" s="23" t="n"/>
    </row>
    <row r="48" ht="15.75" customHeight="1" s="106">
      <c r="B48" s="104" t="inlineStr">
        <is>
          <t>Покраска эмаль</t>
        </is>
      </c>
      <c r="C48" s="23" t="inlineStr">
        <is>
          <t>Респиратор</t>
        </is>
      </c>
      <c r="D48" s="23" t="inlineStr">
        <is>
          <t>закупка</t>
        </is>
      </c>
      <c r="E48" s="102" t="n">
        <v>500</v>
      </c>
      <c r="F48" s="23" t="n">
        <v>0</v>
      </c>
      <c r="G48" s="23" t="inlineStr">
        <is>
          <t>шт</t>
        </is>
      </c>
      <c r="H48" s="27">
        <f>IF(OR(E48="",F48=""),0,E48*F48)</f>
        <v/>
      </c>
      <c r="I48" s="27">
        <f>IF(D48="закупка",H48*'Параметры'!$C$6,0)</f>
        <v/>
      </c>
      <c r="J48" s="27">
        <f>H48+I48</f>
        <v/>
      </c>
      <c r="L48" s="23" t="n"/>
    </row>
    <row r="49" ht="15.75" customHeight="1" s="106">
      <c r="B49" s="104" t="inlineStr">
        <is>
          <t>Покраска эмаль</t>
        </is>
      </c>
      <c r="C49" s="23" t="inlineStr">
        <is>
          <t>Грунт</t>
        </is>
      </c>
      <c r="D49" s="23" t="inlineStr">
        <is>
          <t>закупка</t>
        </is>
      </c>
      <c r="E49" s="102" t="n">
        <v>600</v>
      </c>
      <c r="F49" s="23" t="n">
        <v>0</v>
      </c>
      <c r="G49" s="23" t="inlineStr">
        <is>
          <t>шт</t>
        </is>
      </c>
      <c r="H49" s="27">
        <f>IF(OR(E49="",F49=""),0,E49*F49)</f>
        <v/>
      </c>
      <c r="I49" s="27">
        <f>IF(D49="закупка",H49*'Параметры'!$C$6,0)</f>
        <v/>
      </c>
      <c r="J49" s="27">
        <f>H49+I49</f>
        <v/>
      </c>
      <c r="L49" s="23" t="n"/>
    </row>
    <row r="50" ht="15.75" customHeight="1" s="106">
      <c r="B50" s="104" t="inlineStr">
        <is>
          <t>Покраска эмаль</t>
        </is>
      </c>
      <c r="C50" s="23" t="inlineStr">
        <is>
          <t>Лак</t>
        </is>
      </c>
      <c r="D50" s="23" t="inlineStr">
        <is>
          <t>закупка</t>
        </is>
      </c>
      <c r="E50" s="102" t="n">
        <v>1000</v>
      </c>
      <c r="F50" s="23" t="n">
        <v>0</v>
      </c>
      <c r="G50" s="23" t="inlineStr">
        <is>
          <t>шт</t>
        </is>
      </c>
      <c r="H50" s="27">
        <f>IF(OR(E50="",F50=""),0,E50*F50)</f>
        <v/>
      </c>
      <c r="I50" s="27">
        <f>IF(D50="закупка",H50*'Параметры'!$C$6,0)</f>
        <v/>
      </c>
      <c r="J50" s="27">
        <f>H50+I50</f>
        <v/>
      </c>
      <c r="L50" s="23" t="n"/>
    </row>
    <row r="51" ht="15.75" customHeight="1" s="106">
      <c r="B51" s="104" t="inlineStr">
        <is>
          <t>Покраска эмаль</t>
        </is>
      </c>
      <c r="C51" s="23" t="inlineStr">
        <is>
          <t>Эмаль 0,8л</t>
        </is>
      </c>
      <c r="D51" s="23" t="inlineStr">
        <is>
          <t>закупка</t>
        </is>
      </c>
      <c r="E51" s="102" t="n">
        <v>1200</v>
      </c>
      <c r="F51" s="23" t="n">
        <v>0</v>
      </c>
      <c r="G51" s="23" t="inlineStr">
        <is>
          <t>шт</t>
        </is>
      </c>
      <c r="H51" s="27">
        <f>IF(OR(E51="",F51=""),0,E51*F51)</f>
        <v/>
      </c>
      <c r="I51" s="27">
        <f>IF(D51="закупка",H51*'Параметры'!$C$6,0)</f>
        <v/>
      </c>
      <c r="J51" s="27">
        <f>H51+I51</f>
        <v/>
      </c>
      <c r="L51" s="23" t="n"/>
    </row>
    <row r="52" ht="15.75" customHeight="1" s="106">
      <c r="B52" s="104" t="inlineStr">
        <is>
          <t>Покраска эмаль</t>
        </is>
      </c>
      <c r="C52" s="23" t="inlineStr">
        <is>
          <t>Эмаль 2,0л</t>
        </is>
      </c>
      <c r="D52" s="23" t="inlineStr">
        <is>
          <t>закупка</t>
        </is>
      </c>
      <c r="E52" s="102" t="n">
        <v>3500</v>
      </c>
      <c r="F52" s="23" t="n">
        <v>0</v>
      </c>
      <c r="G52" s="23" t="inlineStr">
        <is>
          <t>шт</t>
        </is>
      </c>
      <c r="H52" s="27">
        <f>IF(OR(E52="",F52=""),0,E52*F52)</f>
        <v/>
      </c>
      <c r="I52" s="27">
        <f>IF(D52="закупка",H52*'Параметры'!$C$6,0)</f>
        <v/>
      </c>
      <c r="J52" s="27">
        <f>H52+I52</f>
        <v/>
      </c>
      <c r="L52" s="23" t="n"/>
    </row>
    <row r="53" ht="15.75" customHeight="1" s="106">
      <c r="B53" s="104" t="inlineStr">
        <is>
          <t>Покраска эмаль</t>
        </is>
      </c>
      <c r="C53" s="23" t="inlineStr">
        <is>
          <t>Мет.щётки, кисти</t>
        </is>
      </c>
      <c r="D53" s="23" t="inlineStr">
        <is>
          <t>закупка</t>
        </is>
      </c>
      <c r="E53" s="102" t="n">
        <v>300</v>
      </c>
      <c r="F53" s="23" t="n">
        <v>0</v>
      </c>
      <c r="G53" s="23" t="inlineStr">
        <is>
          <t>набор</t>
        </is>
      </c>
      <c r="H53" s="27">
        <f>IF(OR(E53="",F53=""),0,E53*F53)</f>
        <v/>
      </c>
      <c r="I53" s="27">
        <f>IF(D53="закупка",H53*'Параметры'!$C$6,0)</f>
        <v/>
      </c>
      <c r="J53" s="27">
        <f>H53+I53</f>
        <v/>
      </c>
      <c r="L53" s="23" t="n"/>
    </row>
    <row r="54" ht="15.75" customHeight="1" s="106">
      <c r="B54" s="104" t="inlineStr">
        <is>
          <t>Покраска эмаль</t>
        </is>
      </c>
      <c r="C54" s="23" t="inlineStr">
        <is>
          <t>Растворитель</t>
        </is>
      </c>
      <c r="D54" s="23" t="inlineStr">
        <is>
          <t>закупка</t>
        </is>
      </c>
      <c r="E54" s="102" t="n">
        <v>370</v>
      </c>
      <c r="F54" s="23" t="n">
        <v>0</v>
      </c>
      <c r="G54" s="23" t="inlineStr">
        <is>
          <t>шт</t>
        </is>
      </c>
      <c r="H54" s="27">
        <f>IF(OR(E54="",F54=""),0,E54*F54)</f>
        <v/>
      </c>
      <c r="I54" s="27">
        <f>IF(D54="закупка",H54*'Параметры'!$C$6,0)</f>
        <v/>
      </c>
      <c r="J54" s="27">
        <f>H54+I54</f>
        <v/>
      </c>
      <c r="L54" s="23" t="n"/>
    </row>
    <row r="55" ht="15.75" customHeight="1" s="106">
      <c r="B55" s="104" t="inlineStr">
        <is>
          <t>Покраска эмаль</t>
        </is>
      </c>
      <c r="C55" s="23" t="inlineStr">
        <is>
          <t>Холодный цинк</t>
        </is>
      </c>
      <c r="D55" s="23" t="inlineStr">
        <is>
          <t>закупка</t>
        </is>
      </c>
      <c r="E55" s="102" t="n">
        <v>2500</v>
      </c>
      <c r="F55" s="23" t="n">
        <v>0</v>
      </c>
      <c r="G55" s="23" t="inlineStr">
        <is>
          <t>шт</t>
        </is>
      </c>
      <c r="H55" s="27">
        <f>IF(OR(E55="",F55=""),0,E55*F55)</f>
        <v/>
      </c>
      <c r="I55" s="27">
        <f>IF(D55="закупка",H55*'Параметры'!$C$6,0)</f>
        <v/>
      </c>
      <c r="J55" s="27">
        <f>H55+I55</f>
        <v/>
      </c>
      <c r="L55" s="23" t="n"/>
    </row>
    <row r="56" ht="15.75" customHeight="1" s="106">
      <c r="B56" s="104" t="inlineStr">
        <is>
          <t>Покраска эмаль</t>
        </is>
      </c>
      <c r="C56" s="23" t="inlineStr">
        <is>
          <t>Транспорт микроавтобус</t>
        </is>
      </c>
      <c r="D56" s="23" t="inlineStr">
        <is>
          <t>транспорт</t>
        </is>
      </c>
      <c r="E56" s="102" t="n">
        <v>2000</v>
      </c>
      <c r="F56" s="23" t="n">
        <v>0</v>
      </c>
      <c r="G56" s="23" t="inlineStr">
        <is>
          <t>рейс</t>
        </is>
      </c>
      <c r="H56" s="27">
        <f>IF(OR(E56="",F56=""),0,E56*F56)</f>
        <v/>
      </c>
      <c r="I56" s="27">
        <f>IF(D56="закупка",H56*'Параметры'!$C$6,0)</f>
        <v/>
      </c>
      <c r="J56" s="27">
        <f>H56+I56</f>
        <v/>
      </c>
      <c r="L56" s="23" t="n"/>
    </row>
    <row r="57" ht="15.75" customHeight="1" s="106">
      <c r="B57" s="104" t="inlineStr">
        <is>
          <t>Покраска эмаль</t>
        </is>
      </c>
      <c r="C57" s="23" t="inlineStr">
        <is>
          <t>Транспорт бортовая 4м</t>
        </is>
      </c>
      <c r="D57" s="23" t="inlineStr">
        <is>
          <t>транспорт</t>
        </is>
      </c>
      <c r="E57" s="102" t="n">
        <v>1500</v>
      </c>
      <c r="F57" s="23" t="n">
        <v>0</v>
      </c>
      <c r="G57" s="23" t="inlineStr">
        <is>
          <t>рейс</t>
        </is>
      </c>
      <c r="H57" s="27">
        <f>IF(OR(E57="",F57=""),0,E57*F57)</f>
        <v/>
      </c>
      <c r="I57" s="27">
        <f>IF(D57="закупка",H57*'Параметры'!$C$6,0)</f>
        <v/>
      </c>
      <c r="J57" s="27">
        <f>H57+I57</f>
        <v/>
      </c>
      <c r="L57" s="23" t="n"/>
    </row>
    <row r="58" ht="15.75" customHeight="1" s="106">
      <c r="B58" s="104" t="inlineStr">
        <is>
          <t>Покраска эмаль</t>
        </is>
      </c>
      <c r="C58" s="23" t="inlineStr">
        <is>
          <t>Транспорт бортовая 6м</t>
        </is>
      </c>
      <c r="D58" s="23" t="inlineStr">
        <is>
          <t>транспорт</t>
        </is>
      </c>
      <c r="E58" s="102" t="n">
        <v>3500</v>
      </c>
      <c r="F58" s="23" t="n">
        <v>0</v>
      </c>
      <c r="G58" s="23" t="inlineStr">
        <is>
          <t>рейс</t>
        </is>
      </c>
      <c r="H58" s="27">
        <f>IF(OR(E58="",F58=""),0,E58*F58)</f>
        <v/>
      </c>
      <c r="I58" s="27">
        <f>IF(D58="закупка",H58*'Параметры'!$C$6,0)</f>
        <v/>
      </c>
      <c r="J58" s="27">
        <f>H58+I58</f>
        <v/>
      </c>
      <c r="L58" s="23" t="n"/>
    </row>
    <row r="59" ht="15.75" customHeight="1" s="106">
      <c r="B59" s="113" t="inlineStr">
        <is>
          <t>7. Пескоструй</t>
        </is>
      </c>
    </row>
    <row r="60" ht="15.75" customHeight="1" s="106">
      <c r="B60" s="104" t="inlineStr">
        <is>
          <t>Пескоструй</t>
        </is>
      </c>
      <c r="C60" s="23" t="inlineStr">
        <is>
          <t>Услуга пескоструй</t>
        </is>
      </c>
      <c r="D60" s="23" t="inlineStr">
        <is>
          <t>услуга</t>
        </is>
      </c>
      <c r="E60" s="102" t="n">
        <v>900</v>
      </c>
      <c r="F60" s="23" t="n">
        <v>0</v>
      </c>
      <c r="G60" s="23" t="inlineStr">
        <is>
          <t>м</t>
        </is>
      </c>
      <c r="H60" s="27">
        <f>IF(OR(E60="",F60=""),0,E60*F60)</f>
        <v/>
      </c>
      <c r="I60" s="27">
        <f>IF(D60="закупка",H60*'Параметры'!$C$6,0)</f>
        <v/>
      </c>
      <c r="J60" s="27">
        <f>H60+I60</f>
        <v/>
      </c>
      <c r="L60" s="23" t="n"/>
    </row>
    <row r="61" ht="15.75" customHeight="1" s="106">
      <c r="B61" s="104" t="inlineStr">
        <is>
          <t>Пескоструй</t>
        </is>
      </c>
      <c r="C61" s="23" t="inlineStr">
        <is>
          <t>Транспорт на пескоструй</t>
        </is>
      </c>
      <c r="D61" s="23" t="inlineStr">
        <is>
          <t>транспорт</t>
        </is>
      </c>
      <c r="E61" s="102" t="n">
        <v>2000</v>
      </c>
      <c r="F61" s="23" t="n">
        <v>0</v>
      </c>
      <c r="G61" s="23" t="inlineStr">
        <is>
          <t>рейс</t>
        </is>
      </c>
      <c r="H61" s="27">
        <f>IF(OR(E61="",F61=""),0,E61*F61)</f>
        <v/>
      </c>
      <c r="I61" s="27">
        <f>IF(D61="закупка",H61*'Параметры'!$C$6,0)</f>
        <v/>
      </c>
      <c r="J61" s="27">
        <f>H61+I61</f>
        <v/>
      </c>
      <c r="L61" s="23" t="n"/>
    </row>
    <row r="62" ht="15.75" customHeight="1" s="106">
      <c r="B62" s="104" t="inlineStr">
        <is>
          <t>Пескоструй</t>
        </is>
      </c>
      <c r="C62" s="23" t="inlineStr">
        <is>
          <t>Транспорт с пескоструя</t>
        </is>
      </c>
      <c r="D62" s="23" t="inlineStr">
        <is>
          <t>транспорт</t>
        </is>
      </c>
      <c r="E62" s="102" t="n">
        <v>2000</v>
      </c>
      <c r="F62" s="23" t="n">
        <v>0</v>
      </c>
      <c r="G62" s="23" t="inlineStr">
        <is>
          <t>рейс</t>
        </is>
      </c>
      <c r="H62" s="27">
        <f>IF(OR(E62="",F62=""),0,E62*F62)</f>
        <v/>
      </c>
      <c r="I62" s="27">
        <f>IF(D62="закупка",H62*'Параметры'!$C$6,0)</f>
        <v/>
      </c>
      <c r="J62" s="27">
        <f>H62+I62</f>
        <v/>
      </c>
      <c r="L62" s="23" t="n"/>
    </row>
    <row r="63" ht="15.75" customHeight="1" s="106">
      <c r="B63" s="113" t="inlineStr">
        <is>
          <t>8. Порошковая покраска</t>
        </is>
      </c>
    </row>
    <row r="64" ht="15.75" customHeight="1" s="106">
      <c r="B64" s="104" t="inlineStr">
        <is>
          <t>Порошок</t>
        </is>
      </c>
      <c r="C64" s="23" t="inlineStr">
        <is>
          <t>Покраска обычная</t>
        </is>
      </c>
      <c r="D64" s="23" t="inlineStr">
        <is>
          <t>услуга</t>
        </is>
      </c>
      <c r="E64" s="102" t="n">
        <v>2000</v>
      </c>
      <c r="F64" s="23" t="n"/>
      <c r="G64" s="23" t="inlineStr">
        <is>
          <t>услуга</t>
        </is>
      </c>
      <c r="H64" s="27">
        <f>IF(OR(E64="",F64=""),0,E64*F64)</f>
        <v/>
      </c>
      <c r="I64" s="27">
        <f>IF(D64="закупка",H64*'Параметры'!$C$6,0)</f>
        <v/>
      </c>
      <c r="J64" s="27">
        <f>H64+I64</f>
        <v/>
      </c>
      <c r="L64" s="23" t="n"/>
    </row>
    <row r="65" ht="15.75" customHeight="1" s="106">
      <c r="B65" s="104" t="inlineStr">
        <is>
          <t>Порошок</t>
        </is>
      </c>
      <c r="C65" s="23" t="inlineStr">
        <is>
          <t>Покраска с цинком</t>
        </is>
      </c>
      <c r="D65" s="23" t="inlineStr">
        <is>
          <t>услуга</t>
        </is>
      </c>
      <c r="E65" s="102" t="n">
        <v>30000</v>
      </c>
      <c r="F65" s="23" t="n"/>
      <c r="G65" s="23" t="inlineStr">
        <is>
          <t>услуга</t>
        </is>
      </c>
      <c r="H65" s="27">
        <f>IF(OR(E65="",F65=""),0,E65*F65)</f>
        <v/>
      </c>
      <c r="I65" s="27">
        <f>IF(D65="закупка",H65*'Параметры'!$C$6,0)</f>
        <v/>
      </c>
      <c r="J65" s="27">
        <f>H65+I65</f>
        <v/>
      </c>
      <c r="L65" s="23" t="n"/>
    </row>
    <row r="66" ht="15.75" customHeight="1" s="106">
      <c r="B66" s="104" t="inlineStr">
        <is>
          <t>Порошок</t>
        </is>
      </c>
      <c r="C66" s="23" t="inlineStr">
        <is>
          <t>Покраска шагрень</t>
        </is>
      </c>
      <c r="D66" s="23" t="inlineStr">
        <is>
          <t>услуга</t>
        </is>
      </c>
      <c r="E66" s="102" t="n">
        <v>2300</v>
      </c>
      <c r="F66" s="23" t="n"/>
      <c r="G66" s="23" t="inlineStr">
        <is>
          <t>услуга</t>
        </is>
      </c>
      <c r="H66" s="27">
        <f>IF(OR(E66="",F66=""),0,E66*F66)</f>
        <v/>
      </c>
      <c r="I66" s="27">
        <f>IF(D66="закупка",H66*'Параметры'!$C$6,0)</f>
        <v/>
      </c>
      <c r="J66" s="27">
        <f>H66+I66</f>
        <v/>
      </c>
      <c r="L66" s="23" t="n"/>
    </row>
    <row r="67" ht="15.75" customHeight="1" s="106">
      <c r="B67" s="104" t="inlineStr">
        <is>
          <t>Порошок</t>
        </is>
      </c>
      <c r="C67" s="23" t="inlineStr">
        <is>
          <t>Покраска антик (молотковая)</t>
        </is>
      </c>
      <c r="D67" s="23" t="inlineStr">
        <is>
          <t>услуга</t>
        </is>
      </c>
      <c r="E67" s="102" t="n">
        <v>2200</v>
      </c>
      <c r="F67" s="23" t="n"/>
      <c r="G67" s="23" t="inlineStr">
        <is>
          <t>услуга</t>
        </is>
      </c>
      <c r="H67" s="27">
        <f>IF(OR(E67="",F67=""),0,E67*F67)</f>
        <v/>
      </c>
      <c r="I67" s="27">
        <f>IF(D67="закупка",H67*'Параметры'!$C$6,0)</f>
        <v/>
      </c>
      <c r="J67" s="27">
        <f>H67+I67</f>
        <v/>
      </c>
      <c r="L67" s="23" t="n"/>
    </row>
    <row r="68" ht="15.75" customHeight="1" s="106">
      <c r="B68" s="104" t="inlineStr">
        <is>
          <t>Порошок</t>
        </is>
      </c>
      <c r="C68" s="23" t="inlineStr">
        <is>
          <t>Транспорт на покраску</t>
        </is>
      </c>
      <c r="D68" s="23" t="inlineStr">
        <is>
          <t>транспорт</t>
        </is>
      </c>
      <c r="E68" s="102" t="n">
        <v>2000</v>
      </c>
      <c r="F68" s="23" t="n"/>
      <c r="G68" s="23" t="inlineStr">
        <is>
          <t>рейс</t>
        </is>
      </c>
      <c r="H68" s="27">
        <f>IF(OR(E68="",F68=""),0,E68*F68)</f>
        <v/>
      </c>
      <c r="I68" s="27">
        <f>IF(D68="закупка",H68*'Параметры'!$C$6,0)</f>
        <v/>
      </c>
      <c r="J68" s="27">
        <f>H68+I68</f>
        <v/>
      </c>
      <c r="L68" s="23" t="n"/>
    </row>
    <row r="69" ht="15.75" customHeight="1" s="106">
      <c r="B69" s="104" t="inlineStr">
        <is>
          <t>Порошок</t>
        </is>
      </c>
      <c r="C69" s="23" t="inlineStr">
        <is>
          <t>Транспорт с покраски</t>
        </is>
      </c>
      <c r="D69" s="23" t="inlineStr">
        <is>
          <t>транспорт</t>
        </is>
      </c>
      <c r="E69" s="102" t="n">
        <v>2000</v>
      </c>
      <c r="F69" s="23" t="n"/>
      <c r="G69" s="23" t="inlineStr">
        <is>
          <t>рейс</t>
        </is>
      </c>
      <c r="H69" s="27">
        <f>IF(OR(E69="",F69=""),0,E69*F69)</f>
        <v/>
      </c>
      <c r="I69" s="27">
        <f>IF(D69="закупка",H69*'Параметры'!$C$6,0)</f>
        <v/>
      </c>
      <c r="J69" s="27">
        <f>H69+I69</f>
        <v/>
      </c>
      <c r="L69" s="23" t="n"/>
    </row>
    <row r="70" ht="15.75" customHeight="1" s="106">
      <c r="B70" s="104" t="inlineStr">
        <is>
          <t>Порошок</t>
        </is>
      </c>
      <c r="C70" s="23" t="inlineStr">
        <is>
          <t>Транспорт людей</t>
        </is>
      </c>
      <c r="D70" s="23" t="inlineStr">
        <is>
          <t>транспорт</t>
        </is>
      </c>
      <c r="E70" s="102" t="n">
        <v>500</v>
      </c>
      <c r="F70" s="23" t="n"/>
      <c r="G70" s="23" t="inlineStr">
        <is>
          <t>поездка</t>
        </is>
      </c>
      <c r="H70" s="27">
        <f>IF(OR(E70="",F70=""),0,E70*F70)</f>
        <v/>
      </c>
      <c r="I70" s="27">
        <f>IF(D70="закупка",H70*'Параметры'!$C$6,0)</f>
        <v/>
      </c>
      <c r="J70" s="27">
        <f>H70+I70</f>
        <v/>
      </c>
      <c r="L70" s="23" t="n"/>
    </row>
    <row r="71" ht="15.75" customHeight="1" s="106">
      <c r="B71" s="113" t="inlineStr">
        <is>
          <t>9. Монтаж</t>
        </is>
      </c>
    </row>
    <row r="72" ht="15.75" customHeight="1" s="106">
      <c r="B72" s="104" t="inlineStr">
        <is>
          <t>Монтаж</t>
        </is>
      </c>
      <c r="C72" s="23" t="inlineStr">
        <is>
          <t>Аренда</t>
        </is>
      </c>
      <c r="D72" s="23" t="inlineStr">
        <is>
          <t>аренда</t>
        </is>
      </c>
      <c r="E72" s="27">
        <f>'Параметры'!$C$10</f>
        <v/>
      </c>
      <c r="F72" s="23" t="n"/>
      <c r="G72" s="23" t="inlineStr">
        <is>
          <t>день</t>
        </is>
      </c>
      <c r="H72" s="27">
        <f>IF(OR(E72="",F72=""),0,E72*F72)</f>
        <v/>
      </c>
      <c r="I72" s="27">
        <f>IF(D72="закупка",H72*'Параметры'!$C$6,0)</f>
        <v/>
      </c>
      <c r="J72" s="27">
        <f>H72+I72</f>
        <v/>
      </c>
      <c r="L72" s="23" t="inlineStr">
        <is>
          <t>Ставка аренды из Параметры</t>
        </is>
      </c>
    </row>
    <row r="73" ht="15.75" customHeight="1" s="106">
      <c r="B73" s="104" t="inlineStr">
        <is>
          <t>Монтаж</t>
        </is>
      </c>
      <c r="C73" s="23" t="inlineStr">
        <is>
          <t>Монтажники</t>
        </is>
      </c>
      <c r="D73" s="23" t="inlineStr">
        <is>
          <t>труд</t>
        </is>
      </c>
      <c r="E73" s="102" t="n">
        <v>5000</v>
      </c>
      <c r="F73" s="23" t="n"/>
      <c r="G73" s="23" t="inlineStr">
        <is>
          <t>день</t>
        </is>
      </c>
      <c r="H73" s="27">
        <f>IF(OR(E73="",F73=""),0,E73*F73)</f>
        <v/>
      </c>
      <c r="I73" s="27">
        <f>IF(D73="закупка",H73*'Параметры'!$C$6,0)</f>
        <v/>
      </c>
      <c r="J73" s="27">
        <f>H73+I73</f>
        <v/>
      </c>
      <c r="L73" s="23" t="n"/>
    </row>
    <row r="74" ht="15.75" customHeight="1" s="106">
      <c r="B74" s="104" t="inlineStr">
        <is>
          <t>Монтаж</t>
        </is>
      </c>
      <c r="C74" s="23" t="inlineStr">
        <is>
          <t>Помощник</t>
        </is>
      </c>
      <c r="D74" s="23" t="inlineStr">
        <is>
          <t>труд</t>
        </is>
      </c>
      <c r="E74" s="102" t="n">
        <v>4000</v>
      </c>
      <c r="F74" s="23" t="n"/>
      <c r="G74" s="23" t="inlineStr">
        <is>
          <t>день</t>
        </is>
      </c>
      <c r="H74" s="27">
        <f>IF(OR(E74="",F74=""),0,E74*F74)</f>
        <v/>
      </c>
      <c r="I74" s="27">
        <f>IF(D74="закупка",H74*'Параметры'!$C$6,0)</f>
        <v/>
      </c>
      <c r="J74" s="27">
        <f>H74+I74</f>
        <v/>
      </c>
      <c r="L74" s="23" t="n"/>
    </row>
    <row r="75" ht="15.75" customHeight="1" s="106">
      <c r="B75" s="104" t="inlineStr">
        <is>
          <t>Монтаж</t>
        </is>
      </c>
      <c r="C75" s="23" t="inlineStr">
        <is>
          <t>Крепежи, хим.анкер</t>
        </is>
      </c>
      <c r="D75" s="23" t="inlineStr">
        <is>
          <t>закупка</t>
        </is>
      </c>
      <c r="E75" s="102" t="n">
        <v>2000</v>
      </c>
      <c r="F75" s="23" t="n"/>
      <c r="G75" s="23" t="inlineStr">
        <is>
          <t>набор</t>
        </is>
      </c>
      <c r="H75" s="27">
        <f>IF(OR(E75="",F75=""),0,E75*F75)</f>
        <v/>
      </c>
      <c r="I75" s="27">
        <f>IF(D75="закупка",H75*'Параметры'!$C$6,0)</f>
        <v/>
      </c>
      <c r="J75" s="27">
        <f>H75+I75</f>
        <v/>
      </c>
      <c r="L75" s="23" t="n"/>
    </row>
    <row r="76" ht="15.75" customHeight="1" s="106">
      <c r="B76" s="104" t="inlineStr">
        <is>
          <t>Монтаж</t>
        </is>
      </c>
      <c r="C76" s="23" t="inlineStr">
        <is>
          <t>Транспорт рабочих</t>
        </is>
      </c>
      <c r="D76" s="23" t="inlineStr">
        <is>
          <t>транспорт</t>
        </is>
      </c>
      <c r="E76" s="102" t="n">
        <v>500</v>
      </c>
      <c r="F76" s="23" t="n">
        <v>0</v>
      </c>
      <c r="G76" s="23" t="inlineStr">
        <is>
          <t>поездка</t>
        </is>
      </c>
      <c r="H76" s="27">
        <f>IF(OR(E76="",F76=""),0,E76*F76)</f>
        <v/>
      </c>
      <c r="I76" s="27">
        <f>IF(D76="закупка",H76*'Параметры'!$C$6,0)</f>
        <v/>
      </c>
      <c r="J76" s="27">
        <f>H76+I76</f>
        <v/>
      </c>
      <c r="L76" s="23" t="n"/>
    </row>
    <row r="77" ht="15.75" customHeight="1" s="106">
      <c r="B77" s="104" t="inlineStr">
        <is>
          <t>Монтаж</t>
        </is>
      </c>
      <c r="C77" s="23" t="inlineStr">
        <is>
          <t>Транспорт оборудования на объект</t>
        </is>
      </c>
      <c r="D77" s="23" t="inlineStr">
        <is>
          <t>транспорт</t>
        </is>
      </c>
      <c r="E77" s="102" t="n">
        <v>2000</v>
      </c>
      <c r="F77" s="23" t="n">
        <v>0</v>
      </c>
      <c r="G77" s="23" t="inlineStr">
        <is>
          <t>рейс</t>
        </is>
      </c>
      <c r="H77" s="27">
        <f>IF(OR(E77="",F77=""),0,E77*F77)</f>
        <v/>
      </c>
      <c r="I77" s="27">
        <f>IF(D77="закупка",H77*'Параметры'!$C$6,0)</f>
        <v/>
      </c>
      <c r="J77" s="27">
        <f>H77+I77</f>
        <v/>
      </c>
      <c r="L77" s="23" t="n"/>
    </row>
    <row r="78" ht="15.75" customHeight="1" s="106">
      <c r="B78" s="104" t="inlineStr">
        <is>
          <t>Монтаж</t>
        </is>
      </c>
      <c r="C78" s="23" t="inlineStr">
        <is>
          <t>Транспорт оборудования в цех</t>
        </is>
      </c>
      <c r="D78" s="23" t="inlineStr">
        <is>
          <t>транспорт</t>
        </is>
      </c>
      <c r="E78" s="102" t="n">
        <v>2000</v>
      </c>
      <c r="F78" s="23" t="n">
        <v>0</v>
      </c>
      <c r="G78" s="23" t="inlineStr">
        <is>
          <t>рейс</t>
        </is>
      </c>
      <c r="H78" s="27">
        <f>IF(OR(E78="",F78=""),0,E78*F78)</f>
        <v/>
      </c>
      <c r="I78" s="27">
        <f>IF(D78="закупка",H78*'Параметры'!$C$6,0)</f>
        <v/>
      </c>
      <c r="J78" s="27">
        <f>H78+I78</f>
        <v/>
      </c>
      <c r="L78" s="23" t="n"/>
    </row>
    <row r="79" ht="15.75" customHeight="1" s="106">
      <c r="B79" s="113" t="inlineStr">
        <is>
          <t>10. Расходники в день</t>
        </is>
      </c>
    </row>
    <row r="80" ht="15.75" customHeight="1" s="106">
      <c r="B80" s="104" t="inlineStr">
        <is>
          <t>Расходники/день</t>
        </is>
      </c>
      <c r="C80" s="23" t="inlineStr">
        <is>
          <t>Абразивы</t>
        </is>
      </c>
      <c r="D80" s="23" t="inlineStr">
        <is>
          <t>закупка</t>
        </is>
      </c>
      <c r="E80" s="102" t="n">
        <v>600</v>
      </c>
      <c r="F80" s="23" t="n"/>
      <c r="G80" s="23" t="inlineStr">
        <is>
          <t>день</t>
        </is>
      </c>
      <c r="H80" s="27">
        <f>IF(OR(E80="",F80=""),0,E80*F80)</f>
        <v/>
      </c>
      <c r="I80" s="27">
        <f>IF(D80="закупка",H80*'Параметры'!$C$6,0)</f>
        <v/>
      </c>
      <c r="J80" s="27">
        <f>H80+I80</f>
        <v/>
      </c>
      <c r="L80" s="23" t="n"/>
    </row>
    <row r="81" ht="15.75" customHeight="1" s="106">
      <c r="B81" s="104" t="inlineStr">
        <is>
          <t>Расходники/день</t>
        </is>
      </c>
      <c r="C81" s="23" t="inlineStr">
        <is>
          <t>Кислород</t>
        </is>
      </c>
      <c r="D81" s="23" t="inlineStr">
        <is>
          <t>закупка</t>
        </is>
      </c>
      <c r="E81" s="102" t="n">
        <v>330</v>
      </c>
      <c r="F81" s="23" t="n">
        <v>0</v>
      </c>
      <c r="G81" s="23" t="inlineStr">
        <is>
          <t>день</t>
        </is>
      </c>
      <c r="H81" s="27">
        <f>IF(OR(E81="",F81=""),0,E81*F81)</f>
        <v/>
      </c>
      <c r="I81" s="27">
        <f>IF(D81="закупка",H81*'Параметры'!$C$6,0)</f>
        <v/>
      </c>
      <c r="J81" s="27">
        <f>H81+I81</f>
        <v/>
      </c>
      <c r="L81" s="23" t="inlineStr">
        <is>
          <t>ориентир: баллон / срок</t>
        </is>
      </c>
    </row>
    <row r="82" ht="15.75" customHeight="1" s="106">
      <c r="B82" s="104" t="inlineStr">
        <is>
          <t>Расходники/день</t>
        </is>
      </c>
      <c r="C82" s="23" t="inlineStr">
        <is>
          <t>Углекислота</t>
        </is>
      </c>
      <c r="D82" s="23" t="inlineStr">
        <is>
          <t>закупка</t>
        </is>
      </c>
      <c r="E82" s="102" t="n">
        <v>65</v>
      </c>
      <c r="F82" s="23" t="n">
        <v>0</v>
      </c>
      <c r="G82" s="23" t="inlineStr">
        <is>
          <t>день</t>
        </is>
      </c>
      <c r="H82" s="27">
        <f>IF(OR(E82="",F82=""),0,E82*F82)</f>
        <v/>
      </c>
      <c r="I82" s="27">
        <f>IF(D82="закупка",H82*'Параметры'!$C$6,0)</f>
        <v/>
      </c>
      <c r="J82" s="27">
        <f>H82+I82</f>
        <v/>
      </c>
      <c r="L82" s="23" t="n"/>
    </row>
    <row r="83" ht="15.75" customHeight="1" s="106">
      <c r="B83" s="104" t="inlineStr">
        <is>
          <t>Расходники/день</t>
        </is>
      </c>
      <c r="C83" s="23" t="inlineStr">
        <is>
          <t>Пропан (газ)</t>
        </is>
      </c>
      <c r="D83" s="23" t="inlineStr">
        <is>
          <t>закупка</t>
        </is>
      </c>
      <c r="E83" s="102" t="n">
        <v>690</v>
      </c>
      <c r="F83" s="23" t="n"/>
      <c r="G83" s="23" t="inlineStr">
        <is>
          <t>день</t>
        </is>
      </c>
      <c r="H83" s="27">
        <f>IF(OR(E83="",F83=""),0,E83*F83)</f>
        <v/>
      </c>
      <c r="I83" s="27">
        <f>IF(D83="закупка",H83*'Параметры'!$C$6,0)</f>
        <v/>
      </c>
      <c r="J83" s="27">
        <f>H83+I83</f>
        <v/>
      </c>
      <c r="L83" s="23" t="n"/>
    </row>
    <row r="84" ht="15.75" customHeight="1" s="106">
      <c r="B84" s="104" t="inlineStr">
        <is>
          <t>Расходники/день</t>
        </is>
      </c>
      <c r="C84" s="23" t="inlineStr">
        <is>
          <t>Ковка (уголь)</t>
        </is>
      </c>
      <c r="D84" s="23" t="inlineStr">
        <is>
          <t>закупка</t>
        </is>
      </c>
      <c r="E84" s="102" t="n">
        <v>3100</v>
      </c>
      <c r="F84" s="23" t="n">
        <v>0</v>
      </c>
      <c r="G84" s="23" t="inlineStr">
        <is>
          <t>день</t>
        </is>
      </c>
      <c r="H84" s="27">
        <f>IF(OR(E84="",F84=""),0,E84*F84)</f>
        <v/>
      </c>
      <c r="I84" s="27">
        <f>IF(D84="закупка",H84*'Параметры'!$C$6,0)</f>
        <v/>
      </c>
      <c r="J84" s="27">
        <f>H84+I84</f>
        <v/>
      </c>
      <c r="L84" s="23" t="n"/>
    </row>
    <row r="85" ht="15.75" customHeight="1" s="106">
      <c r="B85" s="104" t="inlineStr">
        <is>
          <t>Расходники/день</t>
        </is>
      </c>
      <c r="C85" s="23" t="inlineStr">
        <is>
          <t>Амортизация инструмента</t>
        </is>
      </c>
      <c r="D85" s="23" t="inlineStr">
        <is>
          <t>прочее</t>
        </is>
      </c>
      <c r="E85" s="102" t="n">
        <v>740</v>
      </c>
      <c r="F85" s="23" t="n"/>
      <c r="G85" s="23" t="inlineStr">
        <is>
          <t>день</t>
        </is>
      </c>
      <c r="H85" s="27">
        <f>IF(OR(E85="",F85=""),0,E85*F85)</f>
        <v/>
      </c>
      <c r="I85" s="27">
        <f>IF(D85="закупка",H85*'Параметры'!$C$6,0)</f>
        <v/>
      </c>
      <c r="J85" s="27">
        <f>H85+I85</f>
        <v/>
      </c>
      <c r="L85" s="23" t="n"/>
    </row>
    <row r="86" ht="15.75" customHeight="1" s="106">
      <c r="B86" s="104" t="n"/>
      <c r="C86" s="23" t="n"/>
      <c r="D86" s="23" t="n"/>
      <c r="E86" s="102" t="n"/>
      <c r="F86" s="23" t="n"/>
      <c r="G86" s="23" t="n"/>
      <c r="H86" s="27">
        <f>IF(OR(E86="",F86=""),0,E86*F86)</f>
        <v/>
      </c>
      <c r="I86" s="27">
        <f>IF(D86="закупка",H86*'Параметры'!$C$6,0)</f>
        <v/>
      </c>
      <c r="J86" s="27">
        <f>H86+I86</f>
        <v/>
      </c>
      <c r="L86" s="23" t="n"/>
    </row>
    <row r="87" ht="15.75" customHeight="1" s="106">
      <c r="B87" s="104" t="n"/>
      <c r="C87" s="23" t="n"/>
      <c r="D87" s="23" t="n"/>
      <c r="E87" s="102" t="n"/>
      <c r="F87" s="23" t="n"/>
      <c r="G87" s="23" t="n"/>
      <c r="H87" s="27">
        <f>IF(OR(E87="",F87=""),0,E87*F87)</f>
        <v/>
      </c>
      <c r="I87" s="27">
        <f>IF(D87="закупка",H87*'Параметры'!$C$6,0)</f>
        <v/>
      </c>
      <c r="J87" s="27">
        <f>H87+I87</f>
        <v/>
      </c>
      <c r="L87" s="23" t="n"/>
    </row>
    <row r="88" ht="15.75" customHeight="1" s="106">
      <c r="B88" s="114" t="inlineStr">
        <is>
          <t xml:space="preserve">11. Стоимость проектирования </t>
        </is>
      </c>
    </row>
    <row r="89" ht="15.75" customHeight="1" s="106">
      <c r="B89" s="104" t="inlineStr">
        <is>
          <t>Проектирование</t>
        </is>
      </c>
      <c r="C89" s="23" t="inlineStr">
        <is>
          <t>Разработка проекта</t>
        </is>
      </c>
      <c r="D89" s="23" t="inlineStr">
        <is>
          <t>труд</t>
        </is>
      </c>
      <c r="E89" s="102" t="n">
        <v>1000</v>
      </c>
      <c r="F89" s="23" t="n">
        <v>1</v>
      </c>
      <c r="G89" s="23" t="inlineStr">
        <is>
          <t>час</t>
        </is>
      </c>
      <c r="H89" s="27">
        <f>IF(OR(E89="",F89=""),0,E89*F89)</f>
        <v/>
      </c>
      <c r="I89" s="27">
        <f>IF(D89="закупка",H89*'Параметры'!$C$6,0)</f>
        <v/>
      </c>
      <c r="J89" s="27">
        <f>H89+I89</f>
        <v/>
      </c>
      <c r="L89" s="23" t="n"/>
    </row>
    <row r="90" ht="15.75" customHeight="1" s="106">
      <c r="B90" s="104" t="inlineStr">
        <is>
          <t>Проектирование</t>
        </is>
      </c>
      <c r="C90" s="23" t="inlineStr">
        <is>
          <t xml:space="preserve">Виктор обрисовка под лазерную резку </t>
        </is>
      </c>
      <c r="D90" s="23" t="inlineStr">
        <is>
          <t>услуга</t>
        </is>
      </c>
      <c r="E90" s="102" t="n">
        <v>121</v>
      </c>
      <c r="F90" s="23" t="n">
        <v>1</v>
      </c>
      <c r="G90" s="23" t="inlineStr">
        <is>
          <t>час</t>
        </is>
      </c>
      <c r="H90" s="27">
        <f>IF(OR(E90="",F90=""),0,E90*F90)</f>
        <v/>
      </c>
      <c r="I90" s="27">
        <f>IF(D90="закупка",H90*'Параметры'!$C$6,0)</f>
        <v/>
      </c>
      <c r="J90" s="27">
        <f>H90+I90</f>
        <v/>
      </c>
      <c r="L90" s="23" t="n"/>
    </row>
    <row r="91" ht="15.75" customHeight="1" s="106">
      <c r="B91" s="104" t="inlineStr">
        <is>
          <t>Проектирование</t>
        </is>
      </c>
      <c r="C91" s="23" t="n"/>
      <c r="D91" s="23" t="inlineStr">
        <is>
          <t>услуга</t>
        </is>
      </c>
      <c r="E91" s="102" t="n"/>
      <c r="F91" s="23" t="n"/>
      <c r="G91" s="23" t="n"/>
      <c r="H91" s="27">
        <f>IF(OR(E91="",F91=""),0,E91*F91)</f>
        <v/>
      </c>
      <c r="I91" s="27">
        <f>IF(D91="закупка",H91*'Параметры'!$C$6,0)</f>
        <v/>
      </c>
      <c r="J91" s="27">
        <f>H91+I91</f>
        <v/>
      </c>
      <c r="L91" s="23" t="n"/>
    </row>
    <row r="92" ht="15.75" customHeight="1" s="106">
      <c r="B92" s="104" t="inlineStr">
        <is>
          <t>Проектирование</t>
        </is>
      </c>
      <c r="C92" s="23" t="n"/>
      <c r="D92" s="23" t="n"/>
      <c r="E92" s="102" t="n"/>
      <c r="F92" s="23" t="n"/>
      <c r="G92" s="23" t="n"/>
      <c r="H92" s="27">
        <f>IF(OR(E92="",F92=""),0,E92*F92)</f>
        <v/>
      </c>
      <c r="I92" s="27">
        <f>IF(D92="закупка",H92*'Параметры'!$C$6,0)</f>
        <v/>
      </c>
      <c r="J92" s="27">
        <f>H92+I92</f>
        <v/>
      </c>
      <c r="L92" s="23" t="n"/>
    </row>
    <row r="93" ht="15.75" customHeight="1" s="106">
      <c r="B93" s="104" t="inlineStr">
        <is>
          <t>Проектирование</t>
        </is>
      </c>
      <c r="C93" s="23" t="n"/>
      <c r="D93" s="23" t="n"/>
      <c r="E93" s="102" t="n"/>
      <c r="F93" s="23" t="n"/>
      <c r="G93" s="23" t="n"/>
      <c r="H93" s="27">
        <f>IF(OR(E93="",F93=""),0,E93*F93)</f>
        <v/>
      </c>
      <c r="I93" s="27">
        <f>IF(D93="закупка",H93*'Параметры'!$C$6,0)</f>
        <v/>
      </c>
      <c r="J93" s="27">
        <f>H93+I93</f>
        <v/>
      </c>
      <c r="L93" s="23" t="n"/>
    </row>
    <row r="94" ht="15.75" customHeight="1" s="106">
      <c r="B94" s="104" t="inlineStr">
        <is>
          <t>Проектирование</t>
        </is>
      </c>
      <c r="C94" s="23" t="n"/>
      <c r="D94" s="23" t="n"/>
      <c r="E94" s="102" t="n"/>
      <c r="F94" s="23" t="n"/>
      <c r="G94" s="23" t="n"/>
      <c r="H94" s="27">
        <f>IF(OR(E94="",F94=""),0,E94*F94)</f>
        <v/>
      </c>
      <c r="I94" s="27">
        <f>IF(D94="закупка",H94*'Параметры'!$C$6,0)</f>
        <v/>
      </c>
      <c r="J94" s="27">
        <f>H94+I94</f>
        <v/>
      </c>
      <c r="L94" s="23" t="n"/>
    </row>
    <row r="95" ht="15.75" customHeight="1" s="106">
      <c r="B95" s="104" t="n"/>
      <c r="C95" s="23" t="n"/>
      <c r="D95" s="23" t="n"/>
      <c r="E95" s="102" t="n"/>
      <c r="F95" s="23" t="n"/>
      <c r="G95" s="23" t="n"/>
      <c r="H95" s="27">
        <f>IF(OR(E95="",F95=""),0,E95*F95)</f>
        <v/>
      </c>
      <c r="I95" s="27">
        <f>IF(D95="закупка",H95*'Параметры'!$C$6,0)</f>
        <v/>
      </c>
      <c r="J95" s="27">
        <f>H95+I95</f>
        <v/>
      </c>
      <c r="L95" s="23" t="n"/>
    </row>
    <row r="96" ht="15.75" customHeight="1" s="106">
      <c r="B96" s="104" t="n"/>
      <c r="C96" s="23" t="n"/>
      <c r="D96" s="23" t="n"/>
      <c r="E96" s="102" t="n"/>
      <c r="F96" s="23" t="n"/>
      <c r="G96" s="23" t="n"/>
      <c r="H96" s="27">
        <f>IF(OR(E96="",F96=""),0,E96*F96)</f>
        <v/>
      </c>
      <c r="I96" s="27">
        <f>IF(D96="закупка",H96*'Параметры'!$C$6,0)</f>
        <v/>
      </c>
      <c r="J96" s="27">
        <f>H96+I96</f>
        <v/>
      </c>
      <c r="L96" s="23" t="n"/>
    </row>
    <row r="97" ht="15.75" customHeight="1" s="106">
      <c r="B97" s="104" t="n"/>
      <c r="C97" s="23" t="n"/>
      <c r="D97" s="23" t="n"/>
      <c r="E97" s="102" t="n"/>
      <c r="F97" s="23" t="n"/>
      <c r="G97" s="23" t="n"/>
      <c r="H97" s="27">
        <f>IF(OR(E97="",F97=""),0,E97*F97)</f>
        <v/>
      </c>
      <c r="I97" s="27">
        <f>IF(D97="закупка",H97*'Параметры'!$C$6,0)</f>
        <v/>
      </c>
      <c r="J97" s="27">
        <f>H97+I97</f>
        <v/>
      </c>
      <c r="L97" s="23" t="n"/>
    </row>
    <row r="98" ht="15.75" customHeight="1" s="106">
      <c r="B98" s="104" t="n"/>
      <c r="C98" s="23" t="n"/>
      <c r="D98" s="23" t="n"/>
      <c r="E98" s="102" t="n"/>
      <c r="F98" s="23" t="n"/>
      <c r="G98" s="23" t="n"/>
      <c r="H98" s="27">
        <f>IF(OR(E98="",F98=""),0,E98*F98)</f>
        <v/>
      </c>
      <c r="I98" s="27">
        <f>IF(D98="закупка",H98*'Параметры'!$C$6,0)</f>
        <v/>
      </c>
      <c r="J98" s="27">
        <f>H98+I98</f>
        <v/>
      </c>
      <c r="L98" s="23" t="n"/>
    </row>
    <row r="99" ht="15.75" customHeight="1" s="106">
      <c r="B99" s="104" t="n"/>
      <c r="C99" s="23" t="n"/>
      <c r="D99" s="23" t="n"/>
      <c r="E99" s="102" t="n"/>
      <c r="F99" s="23" t="n"/>
      <c r="G99" s="23" t="n"/>
      <c r="H99" s="27">
        <f>IF(OR(E99="",F99=""),0,E99*F99)</f>
        <v/>
      </c>
      <c r="I99" s="27">
        <f>IF(D99="закупка",H99*'Параметры'!$C$6,0)</f>
        <v/>
      </c>
      <c r="J99" s="27">
        <f>H99+I99</f>
        <v/>
      </c>
      <c r="L99" s="23" t="n"/>
    </row>
    <row r="100" ht="15.75" customHeight="1" s="106">
      <c r="B100" s="104" t="n"/>
      <c r="C100" s="23" t="n"/>
      <c r="D100" s="23" t="n"/>
      <c r="E100" s="102" t="n"/>
      <c r="F100" s="23" t="n"/>
      <c r="G100" s="23" t="n"/>
      <c r="H100" s="27">
        <f>IF(OR(E100="",F100=""),0,E100*F100)</f>
        <v/>
      </c>
      <c r="I100" s="27">
        <f>IF(D100="закупка",H100*'Параметры'!$C$6,0)</f>
        <v/>
      </c>
      <c r="J100" s="27">
        <f>H100+I100</f>
        <v/>
      </c>
      <c r="L100" s="23" t="n"/>
    </row>
    <row r="101" ht="15.75" customHeight="1" s="106">
      <c r="B101" s="104" t="n"/>
      <c r="C101" s="23" t="n"/>
      <c r="D101" s="23" t="n"/>
      <c r="E101" s="102" t="n"/>
      <c r="F101" s="23" t="n"/>
      <c r="G101" s="23" t="n"/>
      <c r="H101" s="27">
        <f>IF(OR(E101="",F101=""),0,E101*F101)</f>
        <v/>
      </c>
      <c r="I101" s="27">
        <f>IF(D101="закупка",H101*'Параметры'!$C$6,0)</f>
        <v/>
      </c>
      <c r="J101" s="27">
        <f>H101+I101</f>
        <v/>
      </c>
      <c r="L101" s="23" t="n"/>
    </row>
    <row r="102" ht="15.75" customHeight="1" s="106">
      <c r="B102" s="104" t="n"/>
      <c r="C102" s="23" t="n"/>
      <c r="D102" s="23" t="n"/>
      <c r="E102" s="102" t="n"/>
      <c r="F102" s="23" t="n"/>
      <c r="G102" s="23" t="n"/>
      <c r="H102" s="27">
        <f>IF(OR(E102="",F102=""),0,E102*F102)</f>
        <v/>
      </c>
      <c r="I102" s="27">
        <f>IF(D102="закупка",H102*'Параметры'!$C$6,0)</f>
        <v/>
      </c>
      <c r="J102" s="27">
        <f>H102+I102</f>
        <v/>
      </c>
      <c r="L102" s="23" t="n"/>
    </row>
    <row r="103" ht="15.75" customHeight="1" s="106">
      <c r="B103" s="104" t="n"/>
      <c r="C103" s="23" t="n"/>
      <c r="D103" s="23" t="n"/>
      <c r="E103" s="102" t="n"/>
      <c r="F103" s="23" t="n"/>
      <c r="G103" s="23" t="n"/>
      <c r="H103" s="27">
        <f>IF(OR(E103="",F103=""),0,E103*F103)</f>
        <v/>
      </c>
      <c r="I103" s="27">
        <f>IF(D103="закупка",H103*'Параметры'!$C$6,0)</f>
        <v/>
      </c>
      <c r="J103" s="27">
        <f>H103+I103</f>
        <v/>
      </c>
      <c r="L103" s="23" t="n"/>
    </row>
    <row r="104" ht="15.75" customHeight="1" s="106">
      <c r="B104" s="104" t="n"/>
      <c r="C104" s="23" t="n"/>
      <c r="D104" s="23" t="n"/>
      <c r="E104" s="102" t="n"/>
      <c r="F104" s="23" t="n"/>
      <c r="G104" s="23" t="n"/>
      <c r="H104" s="27">
        <f>IF(OR(E104="",F104=""),0,E104*F104)</f>
        <v/>
      </c>
      <c r="I104" s="27">
        <f>IF(D104="закупка",H104*'Параметры'!$C$6,0)</f>
        <v/>
      </c>
      <c r="J104" s="27">
        <f>H104+I104</f>
        <v/>
      </c>
      <c r="L104" s="23" t="n"/>
    </row>
    <row r="105" ht="15.75" customHeight="1" s="106">
      <c r="B105" s="104" t="n"/>
      <c r="C105" s="23" t="n"/>
      <c r="D105" s="23" t="n"/>
      <c r="E105" s="102" t="n"/>
      <c r="F105" s="23" t="n"/>
      <c r="G105" s="23" t="n"/>
      <c r="H105" s="27">
        <f>IF(OR(E105="",F105=""),0,E105*F105)</f>
        <v/>
      </c>
      <c r="I105" s="27">
        <f>IF(D105="закупка",H105*'Параметры'!$C$6,0)</f>
        <v/>
      </c>
      <c r="J105" s="27">
        <f>H105+I105</f>
        <v/>
      </c>
      <c r="L105" s="23" t="n"/>
    </row>
    <row r="106" ht="15.75" customHeight="1" s="106"/>
    <row r="107" ht="15.75" customHeight="1" s="106">
      <c r="B107" s="3" t="inlineStr">
        <is>
          <t>Пустые строки — для своих позиций. Тип «закупка» включает наценку менеджера автоматически.</t>
        </is>
      </c>
    </row>
    <row r="108" ht="15.75" customHeight="1" s="106"/>
    <row r="109" ht="15.75" customHeight="1" s="106"/>
    <row r="110" ht="15.75" customHeight="1" s="106"/>
    <row r="111" ht="15.75" customHeight="1" s="106"/>
    <row r="112" ht="15.75" customHeight="1" s="106"/>
    <row r="113" ht="15.75" customHeight="1" s="106"/>
    <row r="114" ht="15.75" customHeight="1" s="106"/>
    <row r="115" ht="15.75" customHeight="1" s="106"/>
    <row r="116" ht="15.75" customHeight="1" s="106"/>
    <row r="117" ht="15.75" customHeight="1" s="106"/>
    <row r="118" ht="15.75" customHeight="1" s="106"/>
    <row r="119" ht="15.75" customHeight="1" s="106"/>
    <row r="120" ht="15.75" customHeight="1" s="106"/>
    <row r="121" ht="15.75" customHeight="1" s="106"/>
    <row r="122" ht="15.75" customHeight="1" s="106"/>
    <row r="123" ht="15.75" customHeight="1" s="106"/>
    <row r="124" ht="15.75" customHeight="1" s="106"/>
    <row r="125" ht="15.75" customHeight="1" s="106"/>
    <row r="126" ht="15.75" customHeight="1" s="106"/>
    <row r="127" ht="15.75" customHeight="1" s="106"/>
    <row r="128" ht="15.75" customHeight="1" s="106"/>
    <row r="129" ht="15.75" customHeight="1" s="106"/>
    <row r="130" ht="15.75" customHeight="1" s="106"/>
    <row r="131" ht="15.75" customHeight="1" s="106"/>
    <row r="132" ht="15.75" customHeight="1" s="106"/>
    <row r="133" ht="15.75" customHeight="1" s="106"/>
    <row r="134" ht="15.75" customHeight="1" s="106"/>
    <row r="135" ht="15.75" customHeight="1" s="106"/>
    <row r="136" ht="15.75" customHeight="1" s="106"/>
    <row r="137" ht="15.75" customHeight="1" s="106"/>
    <row r="138" ht="15.75" customHeight="1" s="106"/>
    <row r="139" ht="15.75" customHeight="1" s="106"/>
    <row r="140" ht="15.75" customHeight="1" s="106"/>
    <row r="141" ht="15.75" customHeight="1" s="106"/>
    <row r="142" ht="15.75" customHeight="1" s="106"/>
    <row r="143" ht="15.75" customHeight="1" s="106"/>
    <row r="144" ht="15.75" customHeight="1" s="106"/>
    <row r="145" ht="15.75" customHeight="1" s="106"/>
    <row r="146" ht="15.75" customHeight="1" s="106"/>
    <row r="147" ht="15.75" customHeight="1" s="106"/>
    <row r="148" ht="15.75" customHeight="1" s="106"/>
    <row r="149" ht="15.75" customHeight="1" s="106"/>
    <row r="150" ht="15.75" customHeight="1" s="106"/>
    <row r="151" ht="15.75" customHeight="1" s="106"/>
    <row r="152" ht="15.75" customHeight="1" s="106"/>
    <row r="153" ht="15.75" customHeight="1" s="106"/>
    <row r="154" ht="15.75" customHeight="1" s="106"/>
    <row r="155" ht="15.75" customHeight="1" s="106"/>
    <row r="156" ht="15.75" customHeight="1" s="106"/>
    <row r="157" ht="15.75" customHeight="1" s="106"/>
    <row r="158" ht="15.75" customHeight="1" s="106"/>
    <row r="159" ht="15.75" customHeight="1" s="106"/>
    <row r="160" ht="15.75" customHeight="1" s="106"/>
    <row r="161" ht="15.75" customHeight="1" s="106"/>
    <row r="162" ht="15.75" customHeight="1" s="106"/>
    <row r="163" ht="15.75" customHeight="1" s="106"/>
    <row r="164" ht="15.75" customHeight="1" s="106"/>
    <row r="165" ht="15.75" customHeight="1" s="106"/>
    <row r="166" ht="15.75" customHeight="1" s="106"/>
    <row r="167" ht="15.75" customHeight="1" s="106"/>
    <row r="168" ht="15.75" customHeight="1" s="106"/>
    <row r="169" ht="15.75" customHeight="1" s="106"/>
    <row r="170" ht="15.75" customHeight="1" s="106"/>
    <row r="171" ht="15.75" customHeight="1" s="106"/>
    <row r="172" ht="15.75" customHeight="1" s="106"/>
    <row r="173" ht="15.75" customHeight="1" s="106"/>
    <row r="174" ht="15.75" customHeight="1" s="106"/>
    <row r="175" ht="15.75" customHeight="1" s="106"/>
    <row r="176" ht="15.75" customHeight="1" s="106"/>
    <row r="177" ht="15.75" customHeight="1" s="106"/>
    <row r="178" ht="15.75" customHeight="1" s="106"/>
    <row r="179" ht="15.75" customHeight="1" s="106"/>
    <row r="180" ht="15.75" customHeight="1" s="106"/>
    <row r="181" ht="15.75" customHeight="1" s="106"/>
    <row r="182" ht="15.75" customHeight="1" s="106"/>
    <row r="183" ht="15.75" customHeight="1" s="106"/>
    <row r="184" ht="15.75" customHeight="1" s="106"/>
    <row r="185" ht="15.75" customHeight="1" s="106"/>
    <row r="186" ht="15.75" customHeight="1" s="106"/>
    <row r="187" ht="15.75" customHeight="1" s="106"/>
    <row r="188" ht="15.75" customHeight="1" s="106"/>
    <row r="189" ht="15.75" customHeight="1" s="106"/>
    <row r="190" ht="15.75" customHeight="1" s="106"/>
    <row r="191" ht="15.75" customHeight="1" s="106"/>
    <row r="192" ht="15.75" customHeight="1" s="106"/>
    <row r="193" ht="15.75" customHeight="1" s="106"/>
    <row r="194" ht="15.75" customHeight="1" s="106"/>
    <row r="195" ht="15.75" customHeight="1" s="106"/>
    <row r="196" ht="15.75" customHeight="1" s="106"/>
    <row r="197" ht="15.75" customHeight="1" s="106"/>
    <row r="198" ht="15.75" customHeight="1" s="106"/>
    <row r="199" ht="15.75" customHeight="1" s="106"/>
    <row r="200" ht="15.75" customHeight="1" s="106"/>
    <row r="201" ht="15.75" customHeight="1" s="106"/>
    <row r="202" ht="15.75" customHeight="1" s="106"/>
    <row r="203" ht="15.75" customHeight="1" s="106"/>
    <row r="204" ht="15.75" customHeight="1" s="106"/>
    <row r="205" ht="15.75" customHeight="1" s="106"/>
    <row r="206" ht="15.75" customHeight="1" s="106"/>
    <row r="207" ht="15.75" customHeight="1" s="106"/>
    <row r="208" ht="15.75" customHeight="1" s="106"/>
    <row r="209" ht="15.75" customHeight="1" s="106"/>
    <row r="210" ht="15.75" customHeight="1" s="106"/>
    <row r="211" ht="15.75" customHeight="1" s="106"/>
    <row r="212" ht="15.75" customHeight="1" s="106"/>
    <row r="213" ht="15.75" customHeight="1" s="106"/>
    <row r="214" ht="15.75" customHeight="1" s="106"/>
    <row r="215" ht="15.75" customHeight="1" s="106"/>
    <row r="216" ht="15.75" customHeight="1" s="106"/>
    <row r="217" ht="15.75" customHeight="1" s="106"/>
    <row r="218" ht="15.75" customHeight="1" s="106"/>
    <row r="219" ht="15.75" customHeight="1" s="106"/>
    <row r="220" ht="15.75" customHeight="1" s="106"/>
    <row r="221" ht="15.75" customHeight="1" s="106"/>
    <row r="222" ht="15.75" customHeight="1" s="106"/>
    <row r="223" ht="15.75" customHeight="1" s="106"/>
    <row r="224" ht="15.75" customHeight="1" s="106"/>
    <row r="225" ht="15.75" customHeight="1" s="106"/>
    <row r="226" ht="15.75" customHeight="1" s="106"/>
    <row r="227" ht="15.75" customHeight="1" s="106"/>
    <row r="228" ht="15.75" customHeight="1" s="106"/>
    <row r="229" ht="15.75" customHeight="1" s="106"/>
    <row r="230" ht="15.75" customHeight="1" s="106"/>
    <row r="231" ht="15.75" customHeight="1" s="106"/>
    <row r="232" ht="15.75" customHeight="1" s="106"/>
    <row r="233" ht="15.75" customHeight="1" s="106"/>
    <row r="234" ht="15.75" customHeight="1" s="106"/>
    <row r="235" ht="15.75" customHeight="1" s="106"/>
    <row r="236" ht="15.75" customHeight="1" s="106"/>
    <row r="237" ht="15.75" customHeight="1" s="106"/>
    <row r="238" ht="15.75" customHeight="1" s="106"/>
    <row r="239" ht="15.75" customHeight="1" s="106"/>
    <row r="240" ht="15.75" customHeight="1" s="106"/>
    <row r="241" ht="15.75" customHeight="1" s="106"/>
    <row r="242" ht="15.75" customHeight="1" s="106"/>
    <row r="243" ht="15.75" customHeight="1" s="106"/>
    <row r="244" ht="15.75" customHeight="1" s="106"/>
    <row r="245" ht="15.75" customHeight="1" s="106"/>
    <row r="246" ht="15.75" customHeight="1" s="106"/>
    <row r="247" ht="15.75" customHeight="1" s="106"/>
    <row r="248" ht="15.75" customHeight="1" s="106"/>
    <row r="249" ht="15.75" customHeight="1" s="106"/>
    <row r="250" ht="15.75" customHeight="1" s="106"/>
    <row r="251" ht="15.75" customHeight="1" s="106"/>
    <row r="252" ht="15.75" customHeight="1" s="106"/>
    <row r="253" ht="15.75" customHeight="1" s="106"/>
    <row r="254" ht="15.75" customHeight="1" s="106"/>
    <row r="255" ht="15.75" customHeight="1" s="106"/>
    <row r="256" ht="15.75" customHeight="1" s="106"/>
    <row r="257" ht="15.75" customHeight="1" s="106"/>
    <row r="258" ht="15.75" customHeight="1" s="106"/>
    <row r="259" ht="15.75" customHeight="1" s="106"/>
    <row r="260" ht="15.75" customHeight="1" s="106"/>
    <row r="261" ht="15.75" customHeight="1" s="106"/>
    <row r="262" ht="15.75" customHeight="1" s="106"/>
    <row r="263" ht="15.75" customHeight="1" s="106"/>
    <row r="264" ht="15.75" customHeight="1" s="106"/>
    <row r="265" ht="15.75" customHeight="1" s="106"/>
    <row r="266" ht="15.75" customHeight="1" s="106"/>
    <row r="267" ht="15.75" customHeight="1" s="106"/>
    <row r="268" ht="15.75" customHeight="1" s="106"/>
    <row r="269" ht="15.75" customHeight="1" s="106"/>
    <row r="270" ht="15.75" customHeight="1" s="106"/>
    <row r="271" ht="15.75" customHeight="1" s="106"/>
    <row r="272" ht="15.75" customHeight="1" s="106"/>
    <row r="273" ht="15.75" customHeight="1" s="106"/>
    <row r="274" ht="15.75" customHeight="1" s="106"/>
    <row r="275" ht="15.75" customHeight="1" s="106"/>
    <row r="276" ht="15.75" customHeight="1" s="106"/>
    <row r="277" ht="15.75" customHeight="1" s="106"/>
    <row r="278" ht="15.75" customHeight="1" s="106"/>
    <row r="279" ht="15.75" customHeight="1" s="106"/>
    <row r="280" ht="15.75" customHeight="1" s="106"/>
    <row r="281" ht="15.75" customHeight="1" s="106"/>
    <row r="282" ht="15.75" customHeight="1" s="106"/>
    <row r="283" ht="15.75" customHeight="1" s="106"/>
    <row r="284" ht="15.75" customHeight="1" s="106"/>
    <row r="285" ht="15.75" customHeight="1" s="106"/>
    <row r="286" ht="15.75" customHeight="1" s="106"/>
    <row r="287" ht="15.75" customHeight="1" s="106"/>
    <row r="288" ht="15.75" customHeight="1" s="106"/>
    <row r="289" ht="15.75" customHeight="1" s="106"/>
    <row r="290" ht="15.75" customHeight="1" s="106"/>
    <row r="291" ht="15.75" customHeight="1" s="106"/>
    <row r="292" ht="15.75" customHeight="1" s="106"/>
    <row r="293" ht="15.75" customHeight="1" s="106"/>
    <row r="294" ht="15.75" customHeight="1" s="106"/>
    <row r="295" ht="15.75" customHeight="1" s="106"/>
    <row r="296" ht="15.75" customHeight="1" s="106"/>
    <row r="297" ht="15.75" customHeight="1" s="106"/>
    <row r="298" ht="15.75" customHeight="1" s="106"/>
    <row r="299" ht="15.75" customHeight="1" s="106"/>
    <row r="300" ht="15.75" customHeight="1" s="106"/>
    <row r="301" ht="15.75" customHeight="1" s="106"/>
    <row r="302" ht="15.75" customHeight="1" s="106"/>
    <row r="303" ht="15.75" customHeight="1" s="106"/>
    <row r="304" ht="15.75" customHeight="1" s="106"/>
    <row r="305" ht="15.75" customHeight="1" s="106"/>
    <row r="306" ht="15.75" customHeight="1" s="106"/>
    <row r="307" ht="15.75" customHeight="1" s="106"/>
    <row r="308" ht="15.75" customHeight="1" s="106"/>
    <row r="309" ht="15.75" customHeight="1" s="106"/>
    <row r="310" ht="15.75" customHeight="1" s="106"/>
    <row r="311" ht="15.75" customHeight="1" s="106"/>
    <row r="312" ht="15.75" customHeight="1" s="106"/>
    <row r="313" ht="15.75" customHeight="1" s="106"/>
    <row r="314" ht="15.75" customHeight="1" s="106"/>
    <row r="315" ht="15.75" customHeight="1" s="106"/>
    <row r="316" ht="15.75" customHeight="1" s="106"/>
    <row r="317" ht="15.75" customHeight="1" s="106"/>
    <row r="318" ht="15.75" customHeight="1" s="106"/>
    <row r="319" ht="15.75" customHeight="1" s="106"/>
    <row r="320" ht="15.75" customHeight="1" s="106"/>
    <row r="321" ht="15.75" customHeight="1" s="106"/>
    <row r="322" ht="15.75" customHeight="1" s="106"/>
    <row r="323" ht="15.75" customHeight="1" s="106"/>
    <row r="324" ht="15.75" customHeight="1" s="106"/>
    <row r="325" ht="15.75" customHeight="1" s="106"/>
    <row r="326" ht="15.75" customHeight="1" s="106"/>
    <row r="327" ht="15.75" customHeight="1" s="106"/>
    <row r="328" ht="15.75" customHeight="1" s="106"/>
    <row r="329" ht="15.75" customHeight="1" s="106"/>
    <row r="330" ht="15.75" customHeight="1" s="106"/>
    <row r="331" ht="15.75" customHeight="1" s="106"/>
    <row r="332" ht="15.75" customHeight="1" s="106"/>
    <row r="333" ht="15.75" customHeight="1" s="106"/>
    <row r="334" ht="15.75" customHeight="1" s="106"/>
    <row r="335" ht="15.75" customHeight="1" s="106"/>
    <row r="336" ht="15.75" customHeight="1" s="106"/>
    <row r="337" ht="15.75" customHeight="1" s="106"/>
    <row r="338" ht="15.75" customHeight="1" s="106"/>
    <row r="339" ht="15.75" customHeight="1" s="106"/>
    <row r="340" ht="15.75" customHeight="1" s="106"/>
    <row r="341" ht="15.75" customHeight="1" s="106"/>
    <row r="342" ht="15.75" customHeight="1" s="106"/>
    <row r="343" ht="15.75" customHeight="1" s="106"/>
    <row r="344" ht="15.75" customHeight="1" s="106"/>
    <row r="345" ht="15.75" customHeight="1" s="106"/>
    <row r="346" ht="15.75" customHeight="1" s="106"/>
    <row r="347" ht="15.75" customHeight="1" s="106"/>
    <row r="348" ht="15.75" customHeight="1" s="106"/>
    <row r="349" ht="15.75" customHeight="1" s="106"/>
    <row r="350" ht="15.75" customHeight="1" s="106"/>
    <row r="351" ht="15.75" customHeight="1" s="106"/>
    <row r="352" ht="15.75" customHeight="1" s="106"/>
    <row r="353" ht="15.75" customHeight="1" s="106"/>
    <row r="354" ht="15.75" customHeight="1" s="106"/>
    <row r="355" ht="15.75" customHeight="1" s="106"/>
    <row r="356" ht="15.75" customHeight="1" s="106"/>
    <row r="357" ht="15.75" customHeight="1" s="106"/>
    <row r="358" ht="15.75" customHeight="1" s="106"/>
    <row r="359" ht="15.75" customHeight="1" s="106"/>
    <row r="360" ht="15.75" customHeight="1" s="106"/>
    <row r="361" ht="15.75" customHeight="1" s="106"/>
    <row r="362" ht="15.75" customHeight="1" s="106"/>
    <row r="363" ht="15.75" customHeight="1" s="106"/>
    <row r="364" ht="15.75" customHeight="1" s="106"/>
    <row r="365" ht="15.75" customHeight="1" s="106"/>
    <row r="366" ht="15.75" customHeight="1" s="106"/>
    <row r="367" ht="15.75" customHeight="1" s="106"/>
    <row r="368" ht="15.75" customHeight="1" s="106"/>
    <row r="369" ht="15.75" customHeight="1" s="106"/>
    <row r="370" ht="15.75" customHeight="1" s="106"/>
    <row r="371" ht="15.75" customHeight="1" s="106"/>
    <row r="372" ht="15.75" customHeight="1" s="106"/>
    <row r="373" ht="15.75" customHeight="1" s="106"/>
    <row r="374" ht="15.75" customHeight="1" s="106"/>
    <row r="375" ht="15.75" customHeight="1" s="106"/>
    <row r="376" ht="15.75" customHeight="1" s="106"/>
    <row r="377" ht="15.75" customHeight="1" s="106"/>
    <row r="378" ht="15.75" customHeight="1" s="106"/>
    <row r="379" ht="15.75" customHeight="1" s="106"/>
    <row r="380" ht="15.75" customHeight="1" s="106"/>
    <row r="381" ht="15.75" customHeight="1" s="106"/>
    <row r="382" ht="15.75" customHeight="1" s="106"/>
    <row r="383" ht="15.75" customHeight="1" s="106"/>
    <row r="384" ht="15.75" customHeight="1" s="106"/>
    <row r="385" ht="15.75" customHeight="1" s="106"/>
    <row r="386" ht="15.75" customHeight="1" s="106"/>
    <row r="387" ht="15.75" customHeight="1" s="106"/>
    <row r="388" ht="15.75" customHeight="1" s="106"/>
    <row r="389" ht="15.75" customHeight="1" s="106"/>
    <row r="390" ht="15.75" customHeight="1" s="106"/>
    <row r="391" ht="15.75" customHeight="1" s="106"/>
    <row r="392" ht="15.75" customHeight="1" s="106"/>
    <row r="393" ht="15.75" customHeight="1" s="106"/>
    <row r="394" ht="15.75" customHeight="1" s="106"/>
    <row r="395" ht="15.75" customHeight="1" s="106"/>
    <row r="396" ht="15.75" customHeight="1" s="106"/>
    <row r="397" ht="15.75" customHeight="1" s="106"/>
    <row r="398" ht="15.75" customHeight="1" s="106"/>
    <row r="399" ht="15.75" customHeight="1" s="106"/>
    <row r="400" ht="15.75" customHeight="1" s="106"/>
    <row r="401" ht="15.75" customHeight="1" s="106"/>
    <row r="402" ht="15.75" customHeight="1" s="106"/>
    <row r="403" ht="15.75" customHeight="1" s="106"/>
    <row r="404" ht="15.75" customHeight="1" s="106"/>
    <row r="405" ht="15.75" customHeight="1" s="106"/>
    <row r="406" ht="15.75" customHeight="1" s="106"/>
    <row r="407" ht="15.75" customHeight="1" s="106"/>
    <row r="408" ht="15.75" customHeight="1" s="106"/>
    <row r="409" ht="15.75" customHeight="1" s="106"/>
    <row r="410" ht="15.75" customHeight="1" s="106"/>
    <row r="411" ht="15.75" customHeight="1" s="106"/>
    <row r="412" ht="15.75" customHeight="1" s="106"/>
    <row r="413" ht="15.75" customHeight="1" s="106"/>
    <row r="414" ht="15.75" customHeight="1" s="106"/>
    <row r="415" ht="15.75" customHeight="1" s="106"/>
    <row r="416" ht="15.75" customHeight="1" s="106"/>
    <row r="417" ht="15.75" customHeight="1" s="106"/>
    <row r="418" ht="15.75" customHeight="1" s="106"/>
    <row r="419" ht="15.75" customHeight="1" s="106"/>
    <row r="420" ht="15.75" customHeight="1" s="106"/>
    <row r="421" ht="15.75" customHeight="1" s="106"/>
    <row r="422" ht="15.75" customHeight="1" s="106"/>
    <row r="423" ht="15.75" customHeight="1" s="106"/>
    <row r="424" ht="15.75" customHeight="1" s="106"/>
    <row r="425" ht="15.75" customHeight="1" s="106"/>
    <row r="426" ht="15.75" customHeight="1" s="106"/>
    <row r="427" ht="15.75" customHeight="1" s="106"/>
    <row r="428" ht="15.75" customHeight="1" s="106"/>
    <row r="429" ht="15.75" customHeight="1" s="106"/>
    <row r="430" ht="15.75" customHeight="1" s="106"/>
    <row r="431" ht="15.75" customHeight="1" s="106"/>
    <row r="432" ht="15.75" customHeight="1" s="106"/>
    <row r="433" ht="15.75" customHeight="1" s="106"/>
    <row r="434" ht="15.75" customHeight="1" s="106"/>
    <row r="435" ht="15.75" customHeight="1" s="106"/>
    <row r="436" ht="15.75" customHeight="1" s="106"/>
    <row r="437" ht="15.75" customHeight="1" s="106"/>
    <row r="438" ht="15.75" customHeight="1" s="106"/>
    <row r="439" ht="15.75" customHeight="1" s="106"/>
    <row r="440" ht="15.75" customHeight="1" s="106"/>
    <row r="441" ht="15.75" customHeight="1" s="106"/>
    <row r="442" ht="15.75" customHeight="1" s="106"/>
    <row r="443" ht="15.75" customHeight="1" s="106"/>
    <row r="444" ht="15.75" customHeight="1" s="106"/>
    <row r="445" ht="15.75" customHeight="1" s="106"/>
    <row r="446" ht="15.75" customHeight="1" s="106"/>
    <row r="447" ht="15.75" customHeight="1" s="106"/>
    <row r="448" ht="15.75" customHeight="1" s="106"/>
    <row r="449" ht="15.75" customHeight="1" s="106"/>
    <row r="450" ht="15.75" customHeight="1" s="106"/>
    <row r="451" ht="15.75" customHeight="1" s="106"/>
    <row r="452" ht="15.75" customHeight="1" s="106"/>
    <row r="453" ht="15.75" customHeight="1" s="106"/>
    <row r="454" ht="15.75" customHeight="1" s="106"/>
    <row r="455" ht="15.75" customHeight="1" s="106"/>
    <row r="456" ht="15.75" customHeight="1" s="106"/>
    <row r="457" ht="15.75" customHeight="1" s="106"/>
    <row r="458" ht="15.75" customHeight="1" s="106"/>
    <row r="459" ht="15.75" customHeight="1" s="106"/>
    <row r="460" ht="15.75" customHeight="1" s="106"/>
    <row r="461" ht="15.75" customHeight="1" s="106"/>
    <row r="462" ht="15.75" customHeight="1" s="106"/>
    <row r="463" ht="15.75" customHeight="1" s="106"/>
    <row r="464" ht="15.75" customHeight="1" s="106"/>
    <row r="465" ht="15.75" customHeight="1" s="106"/>
    <row r="466" ht="15.75" customHeight="1" s="106"/>
    <row r="467" ht="15.75" customHeight="1" s="106"/>
    <row r="468" ht="15.75" customHeight="1" s="106"/>
    <row r="469" ht="15.75" customHeight="1" s="106"/>
    <row r="470" ht="15.75" customHeight="1" s="106"/>
    <row r="471" ht="15.75" customHeight="1" s="106"/>
    <row r="472" ht="15.75" customHeight="1" s="106"/>
    <row r="473" ht="15.75" customHeight="1" s="106"/>
    <row r="474" ht="15.75" customHeight="1" s="106"/>
    <row r="475" ht="15.75" customHeight="1" s="106"/>
    <row r="476" ht="15.75" customHeight="1" s="106"/>
    <row r="477" ht="15.75" customHeight="1" s="106"/>
    <row r="478" ht="15.75" customHeight="1" s="106"/>
    <row r="479" ht="15.75" customHeight="1" s="106"/>
    <row r="480" ht="15.75" customHeight="1" s="106"/>
    <row r="481" ht="15.75" customHeight="1" s="106"/>
    <row r="482" ht="15.75" customHeight="1" s="106"/>
    <row r="483" ht="15.75" customHeight="1" s="106"/>
    <row r="484" ht="15.75" customHeight="1" s="106"/>
    <row r="485" ht="15.75" customHeight="1" s="106"/>
    <row r="486" ht="15.75" customHeight="1" s="106"/>
    <row r="487" ht="15.75" customHeight="1" s="106"/>
    <row r="488" ht="15.75" customHeight="1" s="106"/>
    <row r="489" ht="15.75" customHeight="1" s="106"/>
    <row r="490" ht="15.75" customHeight="1" s="106"/>
    <row r="491" ht="15.75" customHeight="1" s="106"/>
    <row r="492" ht="15.75" customHeight="1" s="106"/>
    <row r="493" ht="15.75" customHeight="1" s="106"/>
    <row r="494" ht="15.75" customHeight="1" s="106"/>
    <row r="495" ht="15.75" customHeight="1" s="106"/>
    <row r="496" ht="15.75" customHeight="1" s="106"/>
    <row r="497" ht="15.75" customHeight="1" s="106"/>
    <row r="498" ht="15.75" customHeight="1" s="106"/>
    <row r="499" ht="15.75" customHeight="1" s="106"/>
    <row r="500" ht="15.75" customHeight="1" s="106"/>
    <row r="501" ht="15.75" customHeight="1" s="106"/>
    <row r="502" ht="15.75" customHeight="1" s="106"/>
    <row r="503" ht="15.75" customHeight="1" s="106"/>
    <row r="504" ht="15.75" customHeight="1" s="106"/>
    <row r="505" ht="15.75" customHeight="1" s="106"/>
    <row r="506" ht="15.75" customHeight="1" s="106"/>
    <row r="507" ht="15.75" customHeight="1" s="106"/>
    <row r="508" ht="15.75" customHeight="1" s="106"/>
    <row r="509" ht="15.75" customHeight="1" s="106"/>
    <row r="510" ht="15.75" customHeight="1" s="106"/>
    <row r="511" ht="15.75" customHeight="1" s="106"/>
    <row r="512" ht="15.75" customHeight="1" s="106"/>
    <row r="513" ht="15.75" customHeight="1" s="106"/>
    <row r="514" ht="15.75" customHeight="1" s="106"/>
    <row r="515" ht="15.75" customHeight="1" s="106"/>
    <row r="516" ht="15.75" customHeight="1" s="106"/>
    <row r="517" ht="15.75" customHeight="1" s="106"/>
    <row r="518" ht="15.75" customHeight="1" s="106"/>
    <row r="519" ht="15.75" customHeight="1" s="106"/>
    <row r="520" ht="15.75" customHeight="1" s="106"/>
    <row r="521" ht="15.75" customHeight="1" s="106"/>
    <row r="522" ht="15.75" customHeight="1" s="106"/>
    <row r="523" ht="15.75" customHeight="1" s="106"/>
    <row r="524" ht="15.75" customHeight="1" s="106"/>
    <row r="525" ht="15.75" customHeight="1" s="106"/>
    <row r="526" ht="15.75" customHeight="1" s="106"/>
    <row r="527" ht="15.75" customHeight="1" s="106"/>
    <row r="528" ht="15.75" customHeight="1" s="106"/>
    <row r="529" ht="15.75" customHeight="1" s="106"/>
    <row r="530" ht="15.75" customHeight="1" s="106"/>
    <row r="531" ht="15.75" customHeight="1" s="106"/>
    <row r="532" ht="15.75" customHeight="1" s="106"/>
    <row r="533" ht="15.75" customHeight="1" s="106"/>
    <row r="534" ht="15.75" customHeight="1" s="106"/>
    <row r="535" ht="15.75" customHeight="1" s="106"/>
    <row r="536" ht="15.75" customHeight="1" s="106"/>
    <row r="537" ht="15.75" customHeight="1" s="106"/>
    <row r="538" ht="15.75" customHeight="1" s="106"/>
    <row r="539" ht="15.75" customHeight="1" s="106"/>
    <row r="540" ht="15.75" customHeight="1" s="106"/>
    <row r="541" ht="15.75" customHeight="1" s="106"/>
    <row r="542" ht="15.75" customHeight="1" s="106"/>
    <row r="543" ht="15.75" customHeight="1" s="106"/>
    <row r="544" ht="15.75" customHeight="1" s="106"/>
    <row r="545" ht="15.75" customHeight="1" s="106"/>
    <row r="546" ht="15.75" customHeight="1" s="106"/>
    <row r="547" ht="15.75" customHeight="1" s="106"/>
    <row r="548" ht="15.75" customHeight="1" s="106"/>
    <row r="549" ht="15.75" customHeight="1" s="106"/>
    <row r="550" ht="15.75" customHeight="1" s="106"/>
    <row r="551" ht="15.75" customHeight="1" s="106"/>
    <row r="552" ht="15.75" customHeight="1" s="106"/>
    <row r="553" ht="15.75" customHeight="1" s="106"/>
    <row r="554" ht="15.75" customHeight="1" s="106"/>
    <row r="555" ht="15.75" customHeight="1" s="106"/>
    <row r="556" ht="15.75" customHeight="1" s="106"/>
    <row r="557" ht="15.75" customHeight="1" s="106"/>
    <row r="558" ht="15.75" customHeight="1" s="106"/>
    <row r="559" ht="15.75" customHeight="1" s="106"/>
    <row r="560" ht="15.75" customHeight="1" s="106"/>
    <row r="561" ht="15.75" customHeight="1" s="106"/>
    <row r="562" ht="15.75" customHeight="1" s="106"/>
    <row r="563" ht="15.75" customHeight="1" s="106"/>
    <row r="564" ht="15.75" customHeight="1" s="106"/>
    <row r="565" ht="15.75" customHeight="1" s="106"/>
    <row r="566" ht="15.75" customHeight="1" s="106"/>
    <row r="567" ht="15.75" customHeight="1" s="106"/>
    <row r="568" ht="15.75" customHeight="1" s="106"/>
    <row r="569" ht="15.75" customHeight="1" s="106"/>
    <row r="570" ht="15.75" customHeight="1" s="106"/>
    <row r="571" ht="15.75" customHeight="1" s="106"/>
    <row r="572" ht="15.75" customHeight="1" s="106"/>
    <row r="573" ht="15.75" customHeight="1" s="106"/>
    <row r="574" ht="15.75" customHeight="1" s="106"/>
    <row r="575" ht="15.75" customHeight="1" s="106"/>
    <row r="576" ht="15.75" customHeight="1" s="106"/>
    <row r="577" ht="15.75" customHeight="1" s="106"/>
    <row r="578" ht="15.75" customHeight="1" s="106"/>
    <row r="579" ht="15.75" customHeight="1" s="106"/>
    <row r="580" ht="15.75" customHeight="1" s="106"/>
    <row r="581" ht="15.75" customHeight="1" s="106"/>
    <row r="582" ht="15.75" customHeight="1" s="106"/>
    <row r="583" ht="15.75" customHeight="1" s="106"/>
    <row r="584" ht="15.75" customHeight="1" s="106"/>
    <row r="585" ht="15.75" customHeight="1" s="106"/>
    <row r="586" ht="15.75" customHeight="1" s="106"/>
    <row r="587" ht="15.75" customHeight="1" s="106"/>
    <row r="588" ht="15.75" customHeight="1" s="106"/>
    <row r="589" ht="15.75" customHeight="1" s="106"/>
    <row r="590" ht="15.75" customHeight="1" s="106"/>
    <row r="591" ht="15.75" customHeight="1" s="106"/>
    <row r="592" ht="15.75" customHeight="1" s="106"/>
    <row r="593" ht="15.75" customHeight="1" s="106"/>
    <row r="594" ht="15.75" customHeight="1" s="106"/>
    <row r="595" ht="15.75" customHeight="1" s="106"/>
    <row r="596" ht="15.75" customHeight="1" s="106"/>
    <row r="597" ht="15.75" customHeight="1" s="106"/>
    <row r="598" ht="15.75" customHeight="1" s="106"/>
    <row r="599" ht="15.75" customHeight="1" s="106"/>
    <row r="600" ht="15.75" customHeight="1" s="106"/>
    <row r="601" ht="15.75" customHeight="1" s="106"/>
    <row r="602" ht="15.75" customHeight="1" s="106"/>
    <row r="603" ht="15.75" customHeight="1" s="106"/>
    <row r="604" ht="15.75" customHeight="1" s="106"/>
    <row r="605" ht="15.75" customHeight="1" s="106"/>
    <row r="606" ht="15.75" customHeight="1" s="106"/>
    <row r="607" ht="15.75" customHeight="1" s="106"/>
    <row r="608" ht="15.75" customHeight="1" s="106"/>
    <row r="609" ht="15.75" customHeight="1" s="106"/>
    <row r="610" ht="15.75" customHeight="1" s="106"/>
    <row r="611" ht="15.75" customHeight="1" s="106"/>
    <row r="612" ht="15.75" customHeight="1" s="106"/>
    <row r="613" ht="15.75" customHeight="1" s="106"/>
    <row r="614" ht="15.75" customHeight="1" s="106"/>
    <row r="615" ht="15.75" customHeight="1" s="106"/>
    <row r="616" ht="15.75" customHeight="1" s="106"/>
    <row r="617" ht="15.75" customHeight="1" s="106"/>
    <row r="618" ht="15.75" customHeight="1" s="106"/>
    <row r="619" ht="15.75" customHeight="1" s="106"/>
    <row r="620" ht="15.75" customHeight="1" s="106"/>
    <row r="621" ht="15.75" customHeight="1" s="106"/>
    <row r="622" ht="15.75" customHeight="1" s="106"/>
    <row r="623" ht="15.75" customHeight="1" s="106"/>
    <row r="624" ht="15.75" customHeight="1" s="106"/>
    <row r="625" ht="15.75" customHeight="1" s="106"/>
    <row r="626" ht="15.75" customHeight="1" s="106"/>
    <row r="627" ht="15.75" customHeight="1" s="106"/>
    <row r="628" ht="15.75" customHeight="1" s="106"/>
    <row r="629" ht="15.75" customHeight="1" s="106"/>
    <row r="630" ht="15.75" customHeight="1" s="106"/>
    <row r="631" ht="15.75" customHeight="1" s="106"/>
    <row r="632" ht="15.75" customHeight="1" s="106"/>
    <row r="633" ht="15.75" customHeight="1" s="106"/>
    <row r="634" ht="15.75" customHeight="1" s="106"/>
    <row r="635" ht="15.75" customHeight="1" s="106"/>
    <row r="636" ht="15.75" customHeight="1" s="106"/>
    <row r="637" ht="15.75" customHeight="1" s="106"/>
    <row r="638" ht="15.75" customHeight="1" s="106"/>
    <row r="639" ht="15.75" customHeight="1" s="106"/>
    <row r="640" ht="15.75" customHeight="1" s="106"/>
    <row r="641" ht="15.75" customHeight="1" s="106"/>
    <row r="642" ht="15.75" customHeight="1" s="106"/>
    <row r="643" ht="15.75" customHeight="1" s="106"/>
    <row r="644" ht="15.75" customHeight="1" s="106"/>
    <row r="645" ht="15.75" customHeight="1" s="106"/>
    <row r="646" ht="15.75" customHeight="1" s="106"/>
    <row r="647" ht="15.75" customHeight="1" s="106"/>
    <row r="648" ht="15.75" customHeight="1" s="106"/>
    <row r="649" ht="15.75" customHeight="1" s="106"/>
    <row r="650" ht="15.75" customHeight="1" s="106"/>
    <row r="651" ht="15.75" customHeight="1" s="106"/>
    <row r="652" ht="15.75" customHeight="1" s="106"/>
    <row r="653" ht="15.75" customHeight="1" s="106"/>
    <row r="654" ht="15.75" customHeight="1" s="106"/>
    <row r="655" ht="15.75" customHeight="1" s="106"/>
    <row r="656" ht="15.75" customHeight="1" s="106"/>
    <row r="657" ht="15.75" customHeight="1" s="106"/>
    <row r="658" ht="15.75" customHeight="1" s="106"/>
    <row r="659" ht="15.75" customHeight="1" s="106"/>
    <row r="660" ht="15.75" customHeight="1" s="106"/>
    <row r="661" ht="15.75" customHeight="1" s="106"/>
    <row r="662" ht="15.75" customHeight="1" s="106"/>
    <row r="663" ht="15.75" customHeight="1" s="106"/>
    <row r="664" ht="15.75" customHeight="1" s="106"/>
    <row r="665" ht="15.75" customHeight="1" s="106"/>
    <row r="666" ht="15.75" customHeight="1" s="106"/>
    <row r="667" ht="15.75" customHeight="1" s="106"/>
    <row r="668" ht="15.75" customHeight="1" s="106"/>
    <row r="669" ht="15.75" customHeight="1" s="106"/>
    <row r="670" ht="15.75" customHeight="1" s="106"/>
    <row r="671" ht="15.75" customHeight="1" s="106"/>
    <row r="672" ht="15.75" customHeight="1" s="106"/>
    <row r="673" ht="15.75" customHeight="1" s="106"/>
    <row r="674" ht="15.75" customHeight="1" s="106"/>
    <row r="675" ht="15.75" customHeight="1" s="106"/>
    <row r="676" ht="15.75" customHeight="1" s="106"/>
    <row r="677" ht="15.75" customHeight="1" s="106"/>
    <row r="678" ht="15.75" customHeight="1" s="106"/>
    <row r="679" ht="15.75" customHeight="1" s="106"/>
    <row r="680" ht="15.75" customHeight="1" s="106"/>
    <row r="681" ht="15.75" customHeight="1" s="106"/>
    <row r="682" ht="15.75" customHeight="1" s="106"/>
    <row r="683" ht="15.75" customHeight="1" s="106"/>
    <row r="684" ht="15.75" customHeight="1" s="106"/>
    <row r="685" ht="15.75" customHeight="1" s="106"/>
    <row r="686" ht="15.75" customHeight="1" s="106"/>
    <row r="687" ht="15.75" customHeight="1" s="106"/>
    <row r="688" ht="15.75" customHeight="1" s="106"/>
    <row r="689" ht="15.75" customHeight="1" s="106"/>
    <row r="690" ht="15.75" customHeight="1" s="106"/>
    <row r="691" ht="15.75" customHeight="1" s="106"/>
    <row r="692" ht="15.75" customHeight="1" s="106"/>
    <row r="693" ht="15.75" customHeight="1" s="106"/>
    <row r="694" ht="15.75" customHeight="1" s="106"/>
    <row r="695" ht="15.75" customHeight="1" s="106"/>
    <row r="696" ht="15.75" customHeight="1" s="106"/>
    <row r="697" ht="15.75" customHeight="1" s="106"/>
    <row r="698" ht="15.75" customHeight="1" s="106"/>
    <row r="699" ht="15.75" customHeight="1" s="106"/>
    <row r="700" ht="15.75" customHeight="1" s="106"/>
    <row r="701" ht="15.75" customHeight="1" s="106"/>
    <row r="702" ht="15.75" customHeight="1" s="106"/>
    <row r="703" ht="15.75" customHeight="1" s="106"/>
    <row r="704" ht="15.75" customHeight="1" s="106"/>
    <row r="705" ht="15.75" customHeight="1" s="106"/>
    <row r="706" ht="15.75" customHeight="1" s="106"/>
    <row r="707" ht="15.75" customHeight="1" s="106"/>
    <row r="708" ht="15.75" customHeight="1" s="106"/>
    <row r="709" ht="15.75" customHeight="1" s="106"/>
    <row r="710" ht="15.75" customHeight="1" s="106"/>
    <row r="711" ht="15.75" customHeight="1" s="106"/>
    <row r="712" ht="15.75" customHeight="1" s="106"/>
    <row r="713" ht="15.75" customHeight="1" s="106"/>
    <row r="714" ht="15.75" customHeight="1" s="106"/>
    <row r="715" ht="15.75" customHeight="1" s="106"/>
    <row r="716" ht="15.75" customHeight="1" s="106"/>
    <row r="717" ht="15.75" customHeight="1" s="106"/>
    <row r="718" ht="15.75" customHeight="1" s="106"/>
    <row r="719" ht="15.75" customHeight="1" s="106"/>
    <row r="720" ht="15.75" customHeight="1" s="106"/>
    <row r="721" ht="15.75" customHeight="1" s="106"/>
    <row r="722" ht="15.75" customHeight="1" s="106"/>
    <row r="723" ht="15.75" customHeight="1" s="106"/>
    <row r="724" ht="15.75" customHeight="1" s="106"/>
    <row r="725" ht="15.75" customHeight="1" s="106"/>
    <row r="726" ht="15.75" customHeight="1" s="106"/>
    <row r="727" ht="15.75" customHeight="1" s="106"/>
    <row r="728" ht="15.75" customHeight="1" s="106"/>
    <row r="729" ht="15.75" customHeight="1" s="106"/>
    <row r="730" ht="15.75" customHeight="1" s="106"/>
    <row r="731" ht="15.75" customHeight="1" s="106"/>
    <row r="732" ht="15.75" customHeight="1" s="106"/>
    <row r="733" ht="15.75" customHeight="1" s="106"/>
    <row r="734" ht="15.75" customHeight="1" s="106"/>
    <row r="735" ht="15.75" customHeight="1" s="106"/>
    <row r="736" ht="15.75" customHeight="1" s="106"/>
    <row r="737" ht="15.75" customHeight="1" s="106"/>
    <row r="738" ht="15.75" customHeight="1" s="106"/>
    <row r="739" ht="15.75" customHeight="1" s="106"/>
    <row r="740" ht="15.75" customHeight="1" s="106"/>
    <row r="741" ht="15.75" customHeight="1" s="106"/>
    <row r="742" ht="15.75" customHeight="1" s="106"/>
    <row r="743" ht="15.75" customHeight="1" s="106"/>
    <row r="744" ht="15.75" customHeight="1" s="106"/>
    <row r="745" ht="15.75" customHeight="1" s="106"/>
    <row r="746" ht="15.75" customHeight="1" s="106"/>
    <row r="747" ht="15.75" customHeight="1" s="106"/>
    <row r="748" ht="15.75" customHeight="1" s="106"/>
    <row r="749" ht="15.75" customHeight="1" s="106"/>
    <row r="750" ht="15.75" customHeight="1" s="106"/>
    <row r="751" ht="15.75" customHeight="1" s="106"/>
    <row r="752" ht="15.75" customHeight="1" s="106"/>
    <row r="753" ht="15.75" customHeight="1" s="106"/>
    <row r="754" ht="15.75" customHeight="1" s="106"/>
    <row r="755" ht="15.75" customHeight="1" s="106"/>
    <row r="756" ht="15.75" customHeight="1" s="106"/>
    <row r="757" ht="15.75" customHeight="1" s="106"/>
    <row r="758" ht="15.75" customHeight="1" s="106"/>
    <row r="759" ht="15.75" customHeight="1" s="106"/>
    <row r="760" ht="15.75" customHeight="1" s="106"/>
    <row r="761" ht="15.75" customHeight="1" s="106"/>
    <row r="762" ht="15.75" customHeight="1" s="106"/>
    <row r="763" ht="15.75" customHeight="1" s="106"/>
    <row r="764" ht="15.75" customHeight="1" s="106"/>
    <row r="765" ht="15.75" customHeight="1" s="106"/>
    <row r="766" ht="15.75" customHeight="1" s="106"/>
    <row r="767" ht="15.75" customHeight="1" s="106"/>
    <row r="768" ht="15.75" customHeight="1" s="106"/>
    <row r="769" ht="15.75" customHeight="1" s="106"/>
    <row r="770" ht="15.75" customHeight="1" s="106"/>
    <row r="771" ht="15.75" customHeight="1" s="106"/>
    <row r="772" ht="15.75" customHeight="1" s="106"/>
    <row r="773" ht="15.75" customHeight="1" s="106"/>
    <row r="774" ht="15.75" customHeight="1" s="106"/>
    <row r="775" ht="15.75" customHeight="1" s="106"/>
    <row r="776" ht="15.75" customHeight="1" s="106"/>
    <row r="777" ht="15.75" customHeight="1" s="106"/>
    <row r="778" ht="15.75" customHeight="1" s="106"/>
    <row r="779" ht="15.75" customHeight="1" s="106"/>
    <row r="780" ht="15.75" customHeight="1" s="106"/>
    <row r="781" ht="15.75" customHeight="1" s="106"/>
    <row r="782" ht="15.75" customHeight="1" s="106"/>
    <row r="783" ht="15.75" customHeight="1" s="106"/>
    <row r="784" ht="15.75" customHeight="1" s="106"/>
    <row r="785" ht="15.75" customHeight="1" s="106"/>
    <row r="786" ht="15.75" customHeight="1" s="106"/>
    <row r="787" ht="15.75" customHeight="1" s="106"/>
    <row r="788" ht="15.75" customHeight="1" s="106"/>
    <row r="789" ht="15.75" customHeight="1" s="106"/>
    <row r="790" ht="15.75" customHeight="1" s="106"/>
    <row r="791" ht="15.75" customHeight="1" s="106"/>
    <row r="792" ht="15.75" customHeight="1" s="106"/>
    <row r="793" ht="15.75" customHeight="1" s="106"/>
    <row r="794" ht="15.75" customHeight="1" s="106"/>
    <row r="795" ht="15.75" customHeight="1" s="106"/>
    <row r="796" ht="15.75" customHeight="1" s="106"/>
    <row r="797" ht="15.75" customHeight="1" s="106"/>
    <row r="798" ht="15.75" customHeight="1" s="106"/>
    <row r="799" ht="15.75" customHeight="1" s="106"/>
    <row r="800" ht="15.75" customHeight="1" s="106"/>
    <row r="801" ht="15.75" customHeight="1" s="106"/>
    <row r="802" ht="15.75" customHeight="1" s="106"/>
    <row r="803" ht="15.75" customHeight="1" s="106"/>
    <row r="804" ht="15.75" customHeight="1" s="106"/>
    <row r="805" ht="15.75" customHeight="1" s="106"/>
    <row r="806" ht="15.75" customHeight="1" s="106"/>
    <row r="807" ht="15.75" customHeight="1" s="106"/>
    <row r="808" ht="15.75" customHeight="1" s="106"/>
    <row r="809" ht="15.75" customHeight="1" s="106"/>
    <row r="810" ht="15.75" customHeight="1" s="106"/>
    <row r="811" ht="15.75" customHeight="1" s="106"/>
    <row r="812" ht="15.75" customHeight="1" s="106"/>
    <row r="813" ht="15.75" customHeight="1" s="106"/>
    <row r="814" ht="15.75" customHeight="1" s="106"/>
    <row r="815" ht="15.75" customHeight="1" s="106"/>
    <row r="816" ht="15.75" customHeight="1" s="106"/>
    <row r="817" ht="15.75" customHeight="1" s="106"/>
    <row r="818" ht="15.75" customHeight="1" s="106"/>
    <row r="819" ht="15.75" customHeight="1" s="106"/>
    <row r="820" ht="15.75" customHeight="1" s="106"/>
    <row r="821" ht="15.75" customHeight="1" s="106"/>
    <row r="822" ht="15.75" customHeight="1" s="106"/>
    <row r="823" ht="15.75" customHeight="1" s="106"/>
    <row r="824" ht="15.75" customHeight="1" s="106"/>
    <row r="825" ht="15.75" customHeight="1" s="106"/>
    <row r="826" ht="15.75" customHeight="1" s="106"/>
    <row r="827" ht="15.75" customHeight="1" s="106"/>
    <row r="828" ht="15.75" customHeight="1" s="106"/>
    <row r="829" ht="15.75" customHeight="1" s="106"/>
    <row r="830" ht="15.75" customHeight="1" s="106"/>
    <row r="831" ht="15.75" customHeight="1" s="106"/>
    <row r="832" ht="15.75" customHeight="1" s="106"/>
    <row r="833" ht="15.75" customHeight="1" s="106"/>
    <row r="834" ht="15.75" customHeight="1" s="106"/>
    <row r="835" ht="15.75" customHeight="1" s="106"/>
    <row r="836" ht="15.75" customHeight="1" s="106"/>
    <row r="837" ht="15.75" customHeight="1" s="106"/>
    <row r="838" ht="15.75" customHeight="1" s="106"/>
    <row r="839" ht="15.75" customHeight="1" s="106"/>
    <row r="840" ht="15.75" customHeight="1" s="106"/>
    <row r="841" ht="15.75" customHeight="1" s="106"/>
    <row r="842" ht="15.75" customHeight="1" s="106"/>
    <row r="843" ht="15.75" customHeight="1" s="106"/>
    <row r="844" ht="15.75" customHeight="1" s="106"/>
    <row r="845" ht="15.75" customHeight="1" s="106"/>
    <row r="846" ht="15.75" customHeight="1" s="106"/>
    <row r="847" ht="15.75" customHeight="1" s="106"/>
    <row r="848" ht="15.75" customHeight="1" s="106"/>
    <row r="849" ht="15.75" customHeight="1" s="106"/>
    <row r="850" ht="15.75" customHeight="1" s="106"/>
    <row r="851" ht="15.75" customHeight="1" s="106"/>
    <row r="852" ht="15.75" customHeight="1" s="106"/>
    <row r="853" ht="15.75" customHeight="1" s="106"/>
    <row r="854" ht="15.75" customHeight="1" s="106"/>
    <row r="855" ht="15.75" customHeight="1" s="106"/>
    <row r="856" ht="15.75" customHeight="1" s="106"/>
    <row r="857" ht="15.75" customHeight="1" s="106"/>
    <row r="858" ht="15.75" customHeight="1" s="106"/>
    <row r="859" ht="15.75" customHeight="1" s="106"/>
    <row r="860" ht="15.75" customHeight="1" s="106"/>
    <row r="861" ht="15.75" customHeight="1" s="106"/>
    <row r="862" ht="15.75" customHeight="1" s="106"/>
    <row r="863" ht="15.75" customHeight="1" s="106"/>
    <row r="864" ht="15.75" customHeight="1" s="106"/>
    <row r="865" ht="15.75" customHeight="1" s="106"/>
    <row r="866" ht="15.75" customHeight="1" s="106"/>
    <row r="867" ht="15.75" customHeight="1" s="106"/>
    <row r="868" ht="15.75" customHeight="1" s="106"/>
    <row r="869" ht="15.75" customHeight="1" s="106"/>
    <row r="870" ht="15.75" customHeight="1" s="106"/>
    <row r="871" ht="15.75" customHeight="1" s="106"/>
    <row r="872" ht="15.75" customHeight="1" s="106"/>
    <row r="873" ht="15.75" customHeight="1" s="106"/>
    <row r="874" ht="15.75" customHeight="1" s="106"/>
    <row r="875" ht="15.75" customHeight="1" s="106"/>
    <row r="876" ht="15.75" customHeight="1" s="106"/>
    <row r="877" ht="15.75" customHeight="1" s="106"/>
    <row r="878" ht="15.75" customHeight="1" s="106"/>
    <row r="879" ht="15.75" customHeight="1" s="106"/>
    <row r="880" ht="15.75" customHeight="1" s="106"/>
    <row r="881" ht="15.75" customHeight="1" s="106"/>
    <row r="882" ht="15.75" customHeight="1" s="106"/>
    <row r="883" ht="15.75" customHeight="1" s="106"/>
    <row r="884" ht="15.75" customHeight="1" s="106"/>
    <row r="885" ht="15.75" customHeight="1" s="106"/>
    <row r="886" ht="15.75" customHeight="1" s="106"/>
    <row r="887" ht="15.75" customHeight="1" s="106"/>
    <row r="888" ht="15.75" customHeight="1" s="106"/>
    <row r="889" ht="15.75" customHeight="1" s="106"/>
    <row r="890" ht="15.75" customHeight="1" s="106"/>
    <row r="891" ht="15.75" customHeight="1" s="106"/>
    <row r="892" ht="15.75" customHeight="1" s="106"/>
    <row r="893" ht="15.75" customHeight="1" s="106"/>
    <row r="894" ht="15.75" customHeight="1" s="106"/>
    <row r="895" ht="15.75" customHeight="1" s="106"/>
    <row r="896" ht="15.75" customHeight="1" s="106"/>
    <row r="897" ht="15.75" customHeight="1" s="106"/>
    <row r="898" ht="15.75" customHeight="1" s="106"/>
    <row r="899" ht="15.75" customHeight="1" s="106"/>
    <row r="900" ht="15.75" customHeight="1" s="106"/>
    <row r="901" ht="15.75" customHeight="1" s="106"/>
    <row r="902" ht="15.75" customHeight="1" s="106"/>
    <row r="903" ht="15.75" customHeight="1" s="106"/>
    <row r="904" ht="15.75" customHeight="1" s="106"/>
    <row r="905" ht="15.75" customHeight="1" s="106"/>
    <row r="906" ht="15.75" customHeight="1" s="106"/>
    <row r="907" ht="15.75" customHeight="1" s="106"/>
    <row r="908" ht="15.75" customHeight="1" s="106"/>
    <row r="909" ht="15.75" customHeight="1" s="106"/>
    <row r="910" ht="15.75" customHeight="1" s="106"/>
    <row r="911" ht="15.75" customHeight="1" s="106"/>
    <row r="912" ht="15.75" customHeight="1" s="106"/>
    <row r="913" ht="15.75" customHeight="1" s="106"/>
    <row r="914" ht="15.75" customHeight="1" s="106"/>
    <row r="915" ht="15.75" customHeight="1" s="106"/>
    <row r="916" ht="15.75" customHeight="1" s="106"/>
    <row r="917" ht="15.75" customHeight="1" s="106"/>
    <row r="918" ht="15.75" customHeight="1" s="106"/>
    <row r="919" ht="15.75" customHeight="1" s="106"/>
    <row r="920" ht="15.75" customHeight="1" s="106"/>
    <row r="921" ht="15.75" customHeight="1" s="106"/>
    <row r="922" ht="15.75" customHeight="1" s="106"/>
    <row r="923" ht="15.75" customHeight="1" s="106"/>
    <row r="924" ht="15.75" customHeight="1" s="106"/>
    <row r="925" ht="15.75" customHeight="1" s="106"/>
    <row r="926" ht="15.75" customHeight="1" s="106"/>
    <row r="927" ht="15.75" customHeight="1" s="106"/>
    <row r="928" ht="15.75" customHeight="1" s="106"/>
    <row r="929" ht="15.75" customHeight="1" s="106"/>
    <row r="930" ht="15.75" customHeight="1" s="106"/>
    <row r="931" ht="15.75" customHeight="1" s="106"/>
    <row r="932" ht="15.75" customHeight="1" s="106"/>
    <row r="933" ht="15.75" customHeight="1" s="106"/>
    <row r="934" ht="15.75" customHeight="1" s="106"/>
    <row r="935" ht="15.75" customHeight="1" s="106"/>
    <row r="936" ht="15.75" customHeight="1" s="106"/>
    <row r="937" ht="15.75" customHeight="1" s="106"/>
    <row r="938" ht="15.75" customHeight="1" s="106"/>
    <row r="939" ht="15.75" customHeight="1" s="106"/>
    <row r="940" ht="15.75" customHeight="1" s="106"/>
    <row r="941" ht="15.75" customHeight="1" s="106"/>
    <row r="942" ht="15.75" customHeight="1" s="106"/>
    <row r="943" ht="15.75" customHeight="1" s="106"/>
    <row r="944" ht="15.75" customHeight="1" s="106"/>
    <row r="945" ht="15.75" customHeight="1" s="106"/>
    <row r="946" ht="15.75" customHeight="1" s="106"/>
    <row r="947" ht="15.75" customHeight="1" s="106"/>
    <row r="948" ht="15.75" customHeight="1" s="106"/>
    <row r="949" ht="15.75" customHeight="1" s="106"/>
    <row r="950" ht="15.75" customHeight="1" s="106"/>
    <row r="951" ht="15.75" customHeight="1" s="106"/>
    <row r="952" ht="15.75" customHeight="1" s="106"/>
    <row r="953" ht="15.75" customHeight="1" s="106"/>
    <row r="954" ht="15.75" customHeight="1" s="106"/>
    <row r="955" ht="15.75" customHeight="1" s="106"/>
    <row r="956" ht="15.75" customHeight="1" s="106"/>
    <row r="957" ht="15.75" customHeight="1" s="106"/>
    <row r="958" ht="15.75" customHeight="1" s="106"/>
    <row r="959" ht="15.75" customHeight="1" s="106"/>
    <row r="960" ht="15.75" customHeight="1" s="106"/>
    <row r="961" ht="15.75" customHeight="1" s="106"/>
    <row r="962" ht="15.75" customHeight="1" s="106"/>
    <row r="963" ht="15.75" customHeight="1" s="106"/>
    <row r="964" ht="15.75" customHeight="1" s="106"/>
    <row r="965" ht="15.75" customHeight="1" s="106"/>
    <row r="966" ht="15.75" customHeight="1" s="106"/>
    <row r="967" ht="15.75" customHeight="1" s="106"/>
    <row r="968" ht="15.75" customHeight="1" s="106"/>
    <row r="969" ht="15.75" customHeight="1" s="106"/>
    <row r="970" ht="15.75" customHeight="1" s="106"/>
    <row r="971" ht="15.75" customHeight="1" s="106"/>
    <row r="972" ht="15.75" customHeight="1" s="106"/>
    <row r="973" ht="15.75" customHeight="1" s="106"/>
    <row r="974" ht="15.75" customHeight="1" s="106"/>
    <row r="975" ht="15.75" customHeight="1" s="106"/>
    <row r="976" ht="15.75" customHeight="1" s="106"/>
    <row r="977" ht="15.75" customHeight="1" s="106"/>
    <row r="978" ht="15.75" customHeight="1" s="106"/>
    <row r="979" ht="15.75" customHeight="1" s="106"/>
    <row r="980" ht="15.75" customHeight="1" s="106"/>
    <row r="981" ht="15.75" customHeight="1" s="106"/>
    <row r="982" ht="15.75" customHeight="1" s="106"/>
    <row r="983" ht="15.75" customHeight="1" s="106"/>
    <row r="984" ht="15.75" customHeight="1" s="106"/>
    <row r="985" ht="15.75" customHeight="1" s="106"/>
    <row r="986" ht="15.75" customHeight="1" s="106"/>
    <row r="987" ht="15.75" customHeight="1" s="106"/>
    <row r="988" ht="15.75" customHeight="1" s="106"/>
    <row r="989" ht="15.75" customHeight="1" s="106"/>
    <row r="990" ht="15.75" customHeight="1" s="106"/>
    <row r="991" ht="15.75" customHeight="1" s="106"/>
    <row r="992" ht="15.75" customHeight="1" s="106"/>
    <row r="993" ht="15.75" customHeight="1" s="106"/>
    <row r="994" ht="15.75" customHeight="1" s="106"/>
    <row r="995" ht="15.75" customHeight="1" s="106"/>
    <row r="996" ht="15.75" customHeight="1" s="106"/>
    <row r="997" ht="15.75" customHeight="1" s="106"/>
    <row r="998" ht="15.75" customHeight="1" s="106"/>
    <row r="999" ht="15.75" customHeight="1" s="106"/>
    <row r="1000" ht="15.75" customHeight="1" s="106"/>
  </sheetData>
  <autoFilter ref="$B$5:$L$105"/>
  <mergeCells count="14">
    <mergeCell ref="B63:L63"/>
    <mergeCell ref="B13:L13"/>
    <mergeCell ref="B88:L88"/>
    <mergeCell ref="B6:L6"/>
    <mergeCell ref="B44:L44"/>
    <mergeCell ref="B59:L59"/>
    <mergeCell ref="B2:L2"/>
    <mergeCell ref="B37:L37"/>
    <mergeCell ref="B3:L3"/>
    <mergeCell ref="B22:L22"/>
    <mergeCell ref="N5:O5"/>
    <mergeCell ref="B31:L31"/>
    <mergeCell ref="B79:L79"/>
    <mergeCell ref="B71:L71"/>
  </mergeCells>
  <dataValidations count="1">
    <dataValidation sqref="D7:D12 D14:D21 D23:D30 D32:D36 D38:D43 D45:D58 D60:D62 D64:D70 D72:D78 D80:D87 D89:D105" showDropDown="0" showInputMessage="0" showErrorMessage="0" allowBlank="1" type="list">
      <formula1>"закупка,труд,транспорт,аренда,услуга,прочее"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03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8" defaultColWidth="14.43" defaultRowHeight="15" customHeight="1" outlineLevelCol="0"/>
  <cols>
    <col width="3" customWidth="1" style="106" min="1" max="1"/>
    <col width="18" customWidth="1" style="106" min="2" max="2"/>
    <col width="16" customWidth="1" style="106" min="3" max="3"/>
    <col width="10" customWidth="1" style="106" min="4" max="4"/>
    <col width="8" customWidth="1" style="106" min="5" max="5"/>
    <col width="26" customWidth="1" style="106" min="6" max="6"/>
    <col width="18" customWidth="1" style="106" min="7" max="7"/>
    <col width="16" customWidth="1" style="106" min="8" max="8"/>
    <col width="18" customWidth="1" style="106" min="9" max="9"/>
    <col width="12" customWidth="1" style="106" min="10" max="10"/>
    <col width="8.710000000000001" customWidth="1" style="106" min="11" max="26"/>
  </cols>
  <sheetData>
    <row r="2">
      <c r="B2" s="1" t="inlineStr">
        <is>
          <t>МЕТАЛЛ И КОМПЛЕКТУЮЩИЕ — каталог</t>
        </is>
      </c>
    </row>
    <row r="3">
      <c r="B3" s="3" t="inlineStr">
        <is>
          <t>Цена поставщика = за 1 шт (штанга 6 м). Кол-во — сколько штанг в заказ. Вес 6м — справочно. Наценка менеджера: себестоимость × % из Параметров.</t>
        </is>
      </c>
    </row>
    <row r="4">
      <c r="B4" s="107" t="inlineStr">
        <is>
          <t>ПРОКАТ (каталог поставщика)</t>
        </is>
      </c>
      <c r="C4" s="109" t="n"/>
      <c r="D4" s="109" t="n"/>
      <c r="E4" s="109" t="n"/>
      <c r="F4" s="109" t="n"/>
      <c r="G4" s="109" t="n"/>
      <c r="H4" s="109" t="n"/>
      <c r="I4" s="108" t="n"/>
    </row>
    <row r="5">
      <c r="B5" s="5" t="inlineStr">
        <is>
          <t>Прокат</t>
        </is>
      </c>
      <c r="C5" s="5" t="inlineStr">
        <is>
          <t>Сечение</t>
        </is>
      </c>
      <c r="D5" s="5" t="inlineStr">
        <is>
          <t>Кол-во</t>
        </is>
      </c>
      <c r="E5" s="5" t="inlineStr">
        <is>
          <t>Ед.</t>
        </is>
      </c>
      <c r="F5" s="5" t="inlineStr">
        <is>
          <t>Цена поставщика, ₽/шт (6м)</t>
        </is>
      </c>
      <c r="G5" s="5" t="inlineStr">
        <is>
          <t>С наценкой менеджера</t>
        </is>
      </c>
      <c r="H5" s="5" t="inlineStr">
        <is>
          <t>Себестоимость</t>
        </is>
      </c>
      <c r="I5" s="5" t="inlineStr">
        <is>
          <t>Наценка менеджера</t>
        </is>
      </c>
      <c r="J5" s="5" t="inlineStr">
        <is>
          <t>Вес 6м, кг</t>
        </is>
      </c>
    </row>
    <row r="6">
      <c r="B6" s="23" t="inlineStr">
        <is>
          <t>Квадрат</t>
        </is>
      </c>
      <c r="C6" s="23" t="inlineStr">
        <is>
          <t>10х10</t>
        </is>
      </c>
      <c r="D6" s="23" t="n"/>
      <c r="E6" s="23" t="inlineStr">
        <is>
          <t>шт</t>
        </is>
      </c>
      <c r="F6" s="102" t="n">
        <v>428.3</v>
      </c>
      <c r="G6" s="34">
        <f>H6*(1+'Параметры'!$C$6)</f>
        <v/>
      </c>
      <c r="H6" s="34">
        <f>IF(OR(D6="",F6=""),0,D6*F6)</f>
        <v/>
      </c>
      <c r="I6" s="34">
        <f>H6*'Параметры'!$C$6</f>
        <v/>
      </c>
      <c r="J6" s="36" t="n">
        <v>5.1</v>
      </c>
    </row>
    <row r="7">
      <c r="B7" s="23" t="inlineStr">
        <is>
          <t>Квадрат</t>
        </is>
      </c>
      <c r="C7" s="23" t="inlineStr">
        <is>
          <t>12х12</t>
        </is>
      </c>
      <c r="D7" s="23" t="n"/>
      <c r="E7" s="23" t="inlineStr">
        <is>
          <t>шт</t>
        </is>
      </c>
      <c r="F7" s="102" t="n">
        <v>596.26</v>
      </c>
      <c r="G7" s="34">
        <f>H7*(1+'Параметры'!$C$6)</f>
        <v/>
      </c>
      <c r="H7" s="34">
        <f>IF(OR(D7="",F7=""),0,D7*F7)</f>
        <v/>
      </c>
      <c r="I7" s="34">
        <f>H7*'Параметры'!$C$6</f>
        <v/>
      </c>
      <c r="J7" s="36" t="n">
        <v>7.1</v>
      </c>
    </row>
    <row r="8">
      <c r="B8" s="23" t="inlineStr">
        <is>
          <t>Квадрат</t>
        </is>
      </c>
      <c r="C8" s="23" t="inlineStr">
        <is>
          <t>14х14</t>
        </is>
      </c>
      <c r="D8" s="23" t="n"/>
      <c r="E8" s="23" t="inlineStr">
        <is>
          <t>шт</t>
        </is>
      </c>
      <c r="F8" s="102" t="n">
        <v>797.8099999999999</v>
      </c>
      <c r="G8" s="34">
        <f>H8*(1+'Параметры'!$C$6)</f>
        <v/>
      </c>
      <c r="H8" s="34">
        <f>IF(OR(D8="",F8=""),0,D8*F8)</f>
        <v/>
      </c>
      <c r="I8" s="34">
        <f>H8*'Параметры'!$C$6</f>
        <v/>
      </c>
      <c r="J8" s="36" t="n">
        <v>9.5</v>
      </c>
    </row>
    <row r="9">
      <c r="B9" s="23" t="inlineStr">
        <is>
          <t>Квадрат</t>
        </is>
      </c>
      <c r="C9" s="23" t="inlineStr">
        <is>
          <t>16х16</t>
        </is>
      </c>
      <c r="D9" s="23" t="n"/>
      <c r="E9" s="23" t="inlineStr">
        <is>
          <t>шт</t>
        </is>
      </c>
      <c r="F9" s="102" t="n">
        <v>1058.15</v>
      </c>
      <c r="G9" s="34">
        <f>H9*(1+'Параметры'!$C$6)</f>
        <v/>
      </c>
      <c r="H9" s="34">
        <f>IF(OR(D9="",F9=""),0,D9*F9)</f>
        <v/>
      </c>
      <c r="I9" s="34">
        <f>H9*'Параметры'!$C$6</f>
        <v/>
      </c>
      <c r="J9" s="36" t="n">
        <v>12.6</v>
      </c>
    </row>
    <row r="10">
      <c r="B10" s="23" t="inlineStr">
        <is>
          <t>Труба квадрат.</t>
        </is>
      </c>
      <c r="C10" s="23" t="inlineStr">
        <is>
          <t>15х15х1.5</t>
        </is>
      </c>
      <c r="D10" s="23" t="n"/>
      <c r="E10" s="23" t="inlineStr">
        <is>
          <t>шт</t>
        </is>
      </c>
      <c r="F10" s="102" t="n">
        <v>383.8</v>
      </c>
      <c r="G10" s="34">
        <f>H10*(1+'Параметры'!$C$6)</f>
        <v/>
      </c>
      <c r="H10" s="34">
        <f>IF(OR(D10="",F10=""),0,D10*F10)</f>
        <v/>
      </c>
      <c r="I10" s="34">
        <f>H10*'Параметры'!$C$6</f>
        <v/>
      </c>
      <c r="J10" s="36" t="n">
        <v>4</v>
      </c>
    </row>
    <row r="11">
      <c r="B11" s="23" t="inlineStr">
        <is>
          <t>Труба квадрат.</t>
        </is>
      </c>
      <c r="C11" s="23" t="inlineStr">
        <is>
          <t>20х20х1.5</t>
        </is>
      </c>
      <c r="D11" s="23" t="n"/>
      <c r="E11" s="23" t="inlineStr">
        <is>
          <t>шт</t>
        </is>
      </c>
      <c r="F11" s="102" t="n">
        <v>575.7</v>
      </c>
      <c r="G11" s="34">
        <f>H11*(1+'Параметры'!$C$6)</f>
        <v/>
      </c>
      <c r="H11" s="34">
        <f>IF(OR(D11="",F11=""),0,D11*F11)</f>
        <v/>
      </c>
      <c r="I11" s="34">
        <f>H11*'Параметры'!$C$6</f>
        <v/>
      </c>
      <c r="J11" s="36" t="n">
        <v>6</v>
      </c>
    </row>
    <row r="12">
      <c r="B12" s="23" t="inlineStr">
        <is>
          <t>Труба квадрат.</t>
        </is>
      </c>
      <c r="C12" s="23" t="inlineStr">
        <is>
          <t>20х20х2.0</t>
        </is>
      </c>
      <c r="D12" s="23" t="n"/>
      <c r="E12" s="23" t="inlineStr">
        <is>
          <t>шт</t>
        </is>
      </c>
      <c r="F12" s="102" t="n">
        <v>586.53</v>
      </c>
      <c r="G12" s="34">
        <f>H12*(1+'Параметры'!$C$6)</f>
        <v/>
      </c>
      <c r="H12" s="34">
        <f>IF(OR(D12="",F12=""),0,D12*F12)</f>
        <v/>
      </c>
      <c r="I12" s="34">
        <f>H12*'Параметры'!$C$6</f>
        <v/>
      </c>
      <c r="J12" s="36" t="n">
        <v>7</v>
      </c>
    </row>
    <row r="13">
      <c r="B13" s="23" t="inlineStr">
        <is>
          <t>Труба квадрат.</t>
        </is>
      </c>
      <c r="C13" s="23" t="inlineStr">
        <is>
          <t>30х30х2.0</t>
        </is>
      </c>
      <c r="D13" s="23" t="n"/>
      <c r="E13" s="23" t="inlineStr">
        <is>
          <t>шт</t>
        </is>
      </c>
      <c r="F13" s="102" t="n">
        <v>921.6900000000001</v>
      </c>
      <c r="G13" s="34">
        <f>H13*(1+'Параметры'!$C$6)</f>
        <v/>
      </c>
      <c r="H13" s="34">
        <f>IF(OR(D13="",F13=""),0,D13*F13)</f>
        <v/>
      </c>
      <c r="I13" s="34">
        <f>H13*'Параметры'!$C$6</f>
        <v/>
      </c>
      <c r="J13" s="36" t="n">
        <v>11</v>
      </c>
    </row>
    <row r="14">
      <c r="B14" s="23" t="inlineStr">
        <is>
          <t>Труба квадрат.</t>
        </is>
      </c>
      <c r="C14" s="23" t="inlineStr">
        <is>
          <t>40х40х1.5</t>
        </is>
      </c>
      <c r="D14" s="23" t="n"/>
      <c r="E14" s="23" t="inlineStr">
        <is>
          <t>шт</t>
        </is>
      </c>
      <c r="F14" s="102" t="n">
        <v>1151.4</v>
      </c>
      <c r="G14" s="34">
        <f>H14*(1+'Параметры'!$C$6)</f>
        <v/>
      </c>
      <c r="H14" s="34">
        <f>IF(OR(D14="",F14=""),0,D14*F14)</f>
        <v/>
      </c>
      <c r="I14" s="34">
        <f>H14*'Параметры'!$C$6</f>
        <v/>
      </c>
      <c r="J14" s="36" t="n">
        <v>12</v>
      </c>
    </row>
    <row r="15">
      <c r="B15" s="23" t="inlineStr">
        <is>
          <t>Труба квадрат.</t>
        </is>
      </c>
      <c r="C15" s="23" t="inlineStr">
        <is>
          <t>40х40х2.0</t>
        </is>
      </c>
      <c r="D15" s="23" t="n"/>
      <c r="E15" s="23" t="inlineStr">
        <is>
          <t>шт</t>
        </is>
      </c>
      <c r="F15" s="102" t="n">
        <v>1256.85</v>
      </c>
      <c r="G15" s="34">
        <f>H15*(1+'Параметры'!$C$6)</f>
        <v/>
      </c>
      <c r="H15" s="34">
        <f>IF(OR(D15="",F15=""),0,D15*F15)</f>
        <v/>
      </c>
      <c r="I15" s="34">
        <f>H15*'Параметры'!$C$6</f>
        <v/>
      </c>
      <c r="J15" s="36" t="n">
        <v>15</v>
      </c>
    </row>
    <row r="16">
      <c r="B16" s="23" t="inlineStr">
        <is>
          <t>Труба прямоуг.</t>
        </is>
      </c>
      <c r="C16" s="23" t="inlineStr">
        <is>
          <t>40х20х1.5</t>
        </is>
      </c>
      <c r="D16" s="23" t="n"/>
      <c r="E16" s="23" t="inlineStr">
        <is>
          <t>шт</t>
        </is>
      </c>
      <c r="F16" s="102" t="n">
        <v>863.55</v>
      </c>
      <c r="G16" s="34">
        <f>H16*(1+'Параметры'!$C$6)</f>
        <v/>
      </c>
      <c r="H16" s="34">
        <f>IF(OR(D16="",F16=""),0,D16*F16)</f>
        <v/>
      </c>
      <c r="I16" s="34">
        <f>H16*'Параметры'!$C$6</f>
        <v/>
      </c>
      <c r="J16" s="36" t="n">
        <v>9</v>
      </c>
    </row>
    <row r="17">
      <c r="B17" s="23" t="inlineStr">
        <is>
          <t>Труба прямоуг.</t>
        </is>
      </c>
      <c r="C17" s="23" t="inlineStr">
        <is>
          <t>40х20х2.0</t>
        </is>
      </c>
      <c r="D17" s="23" t="n"/>
      <c r="E17" s="23" t="inlineStr">
        <is>
          <t>шт</t>
        </is>
      </c>
      <c r="F17" s="102" t="n">
        <v>921.6900000000001</v>
      </c>
      <c r="G17" s="34">
        <f>H17*(1+'Параметры'!$C$6)</f>
        <v/>
      </c>
      <c r="H17" s="34">
        <f>IF(OR(D17="",F17=""),0,D17*F17)</f>
        <v/>
      </c>
      <c r="I17" s="34">
        <f>H17*'Параметры'!$C$6</f>
        <v/>
      </c>
      <c r="J17" s="36" t="n">
        <v>11</v>
      </c>
    </row>
    <row r="18">
      <c r="B18" s="23" t="inlineStr">
        <is>
          <t>Труба прямоуг.</t>
        </is>
      </c>
      <c r="C18" s="23" t="inlineStr">
        <is>
          <t>50х25х1.5</t>
        </is>
      </c>
      <c r="D18" s="23" t="n"/>
      <c r="E18" s="23" t="inlineStr">
        <is>
          <t>шт</t>
        </is>
      </c>
      <c r="F18" s="102" t="n">
        <v>1151.4</v>
      </c>
      <c r="G18" s="34">
        <f>H18*(1+'Параметры'!$C$6)</f>
        <v/>
      </c>
      <c r="H18" s="34">
        <f>IF(OR(D18="",F18=""),0,D18*F18)</f>
        <v/>
      </c>
      <c r="I18" s="34">
        <f>H18*'Параметры'!$C$6</f>
        <v/>
      </c>
      <c r="J18" s="36" t="n">
        <v>12</v>
      </c>
    </row>
    <row r="19">
      <c r="B19" s="23" t="inlineStr">
        <is>
          <t>Труба прямоуг.</t>
        </is>
      </c>
      <c r="C19" s="23" t="inlineStr">
        <is>
          <t>50х25х2.0</t>
        </is>
      </c>
      <c r="D19" s="23" t="n"/>
      <c r="E19" s="23" t="inlineStr">
        <is>
          <t>шт</t>
        </is>
      </c>
      <c r="F19" s="102" t="n">
        <v>1173.06</v>
      </c>
      <c r="G19" s="34">
        <f>H19*(1+'Параметры'!$C$6)</f>
        <v/>
      </c>
      <c r="H19" s="34">
        <f>IF(OR(D19="",F19=""),0,D19*F19)</f>
        <v/>
      </c>
      <c r="I19" s="34">
        <f>H19*'Параметры'!$C$6</f>
        <v/>
      </c>
      <c r="J19" s="36" t="n">
        <v>14</v>
      </c>
    </row>
    <row r="20">
      <c r="B20" s="23" t="inlineStr">
        <is>
          <t>Полоса</t>
        </is>
      </c>
      <c r="C20" s="23" t="inlineStr">
        <is>
          <t>20х4 мм</t>
        </is>
      </c>
      <c r="D20" s="23" t="n"/>
      <c r="E20" s="23" t="inlineStr">
        <is>
          <t>шт</t>
        </is>
      </c>
      <c r="F20" s="102" t="n">
        <v>397.04</v>
      </c>
      <c r="G20" s="34">
        <f>H20*(1+'Параметры'!$C$6)</f>
        <v/>
      </c>
      <c r="H20" s="34">
        <f>IF(OR(D20="",F20=""),0,D20*F20)</f>
        <v/>
      </c>
      <c r="I20" s="34">
        <f>H20*'Параметры'!$C$6</f>
        <v/>
      </c>
      <c r="J20" s="36" t="n">
        <v>4.1</v>
      </c>
    </row>
    <row r="21" ht="15.75" customHeight="1" s="106">
      <c r="B21" s="23" t="inlineStr">
        <is>
          <t>Полоса</t>
        </is>
      </c>
      <c r="C21" s="23" t="inlineStr">
        <is>
          <t>25х4 мм</t>
        </is>
      </c>
      <c r="D21" s="23" t="n"/>
      <c r="E21" s="23" t="inlineStr">
        <is>
          <t>шт</t>
        </is>
      </c>
      <c r="F21" s="102" t="n">
        <v>493.88</v>
      </c>
      <c r="G21" s="34">
        <f>H21*(1+'Параметры'!$C$6)</f>
        <v/>
      </c>
      <c r="H21" s="34">
        <f>IF(OR(D21="",F21=""),0,D21*F21)</f>
        <v/>
      </c>
      <c r="I21" s="34">
        <f>H21*'Параметры'!$C$6</f>
        <v/>
      </c>
      <c r="J21" s="36" t="n">
        <v>5.1</v>
      </c>
    </row>
    <row r="22" ht="15.75" customHeight="1" s="106">
      <c r="B22" s="23" t="inlineStr">
        <is>
          <t>Полоса</t>
        </is>
      </c>
      <c r="C22" s="23" t="inlineStr">
        <is>
          <t>30х4 мм</t>
        </is>
      </c>
      <c r="D22" s="23" t="n"/>
      <c r="E22" s="23" t="inlineStr">
        <is>
          <t>шт</t>
        </is>
      </c>
      <c r="F22" s="102" t="n">
        <v>557.85</v>
      </c>
      <c r="G22" s="34">
        <f>H22*(1+'Параметры'!$C$6)</f>
        <v/>
      </c>
      <c r="H22" s="34">
        <f>IF(OR(D22="",F22=""),0,D22*F22)</f>
        <v/>
      </c>
      <c r="I22" s="34">
        <f>H22*'Параметры'!$C$6</f>
        <v/>
      </c>
      <c r="J22" s="36" t="n">
        <v>6.1</v>
      </c>
    </row>
    <row r="23" ht="15.75" customHeight="1" s="106">
      <c r="B23" s="23" t="inlineStr">
        <is>
          <t>Полоса</t>
        </is>
      </c>
      <c r="C23" s="23" t="inlineStr">
        <is>
          <t>40х4 мм</t>
        </is>
      </c>
      <c r="D23" s="23" t="n"/>
      <c r="E23" s="23" t="inlineStr">
        <is>
          <t>шт</t>
        </is>
      </c>
      <c r="F23" s="102" t="n">
        <v>731.6</v>
      </c>
      <c r="G23" s="34">
        <f>H23*(1+'Параметры'!$C$6)</f>
        <v/>
      </c>
      <c r="H23" s="34">
        <f>IF(OR(D23="",F23=""),0,D23*F23)</f>
        <v/>
      </c>
      <c r="I23" s="34">
        <f>H23*'Параметры'!$C$6</f>
        <v/>
      </c>
      <c r="J23" s="36" t="n">
        <v>8</v>
      </c>
    </row>
    <row r="24" ht="15.75" customHeight="1" s="106">
      <c r="B24" s="23" t="inlineStr">
        <is>
          <t>Полоса</t>
        </is>
      </c>
      <c r="C24" s="23" t="inlineStr">
        <is>
          <t>50х4 мм</t>
        </is>
      </c>
      <c r="D24" s="23" t="n"/>
      <c r="E24" s="23" t="inlineStr">
        <is>
          <t>шт</t>
        </is>
      </c>
      <c r="F24" s="102" t="n">
        <v>914.5</v>
      </c>
      <c r="G24" s="34">
        <f>H24*(1+'Параметры'!$C$6)</f>
        <v/>
      </c>
      <c r="H24" s="34">
        <f>IF(OR(D24="",F24=""),0,D24*F24)</f>
        <v/>
      </c>
      <c r="I24" s="34">
        <f>H24*'Параметры'!$C$6</f>
        <v/>
      </c>
      <c r="J24" s="36" t="n">
        <v>10</v>
      </c>
    </row>
    <row r="25" ht="15.75" customHeight="1" s="106">
      <c r="B25" s="23" t="inlineStr">
        <is>
          <t>Полоса</t>
        </is>
      </c>
      <c r="C25" s="23" t="inlineStr">
        <is>
          <t>100х10 мм</t>
        </is>
      </c>
      <c r="D25" s="23" t="n"/>
      <c r="E25" s="23" t="inlineStr">
        <is>
          <t>шт</t>
        </is>
      </c>
      <c r="F25" s="102" t="n">
        <v>4687.83</v>
      </c>
      <c r="G25" s="34">
        <f>H25*(1+'Параметры'!$C$6)</f>
        <v/>
      </c>
      <c r="H25" s="34">
        <f>IF(OR(D25="",F25=""),0,D25*F25)</f>
        <v/>
      </c>
      <c r="I25" s="34">
        <f>H25*'Параметры'!$C$6</f>
        <v/>
      </c>
      <c r="J25" s="36" t="n">
        <v>49</v>
      </c>
    </row>
    <row r="26" ht="15.75" customHeight="1" s="106">
      <c r="B26" s="23" t="inlineStr">
        <is>
          <t>Труба в/г</t>
        </is>
      </c>
      <c r="C26" s="23" t="inlineStr">
        <is>
          <t>15х2.8</t>
        </is>
      </c>
      <c r="D26" s="23" t="n"/>
      <c r="E26" s="23" t="inlineStr">
        <is>
          <t>шт</t>
        </is>
      </c>
      <c r="F26" s="102" t="n">
        <v>641.52</v>
      </c>
      <c r="G26" s="34">
        <f>H26*(1+'Параметры'!$C$6)</f>
        <v/>
      </c>
      <c r="H26" s="34">
        <f>IF(OR(D26="",F26=""),0,D26*F26)</f>
        <v/>
      </c>
      <c r="I26" s="34">
        <f>H26*'Параметры'!$C$6</f>
        <v/>
      </c>
      <c r="J26" s="36" t="n">
        <v>8</v>
      </c>
    </row>
    <row r="27" ht="15.75" customHeight="1" s="106">
      <c r="B27" s="23" t="inlineStr">
        <is>
          <t>Труба в/г</t>
        </is>
      </c>
      <c r="C27" s="23" t="inlineStr">
        <is>
          <t>20х2.8</t>
        </is>
      </c>
      <c r="D27" s="23" t="n"/>
      <c r="E27" s="23" t="inlineStr">
        <is>
          <t>шт</t>
        </is>
      </c>
      <c r="F27" s="102" t="n">
        <v>882.09</v>
      </c>
      <c r="G27" s="34">
        <f>H27*(1+'Параметры'!$C$6)</f>
        <v/>
      </c>
      <c r="H27" s="34">
        <f>IF(OR(D27="",F27=""),0,D27*F27)</f>
        <v/>
      </c>
      <c r="I27" s="34">
        <f>H27*'Параметры'!$C$6</f>
        <v/>
      </c>
      <c r="J27" s="36" t="n">
        <v>11</v>
      </c>
    </row>
    <row r="28" ht="15.75" customHeight="1" s="106">
      <c r="B28" s="23" t="inlineStr">
        <is>
          <t>Труба в/г</t>
        </is>
      </c>
      <c r="C28" s="23" t="inlineStr">
        <is>
          <t>25х3.2</t>
        </is>
      </c>
      <c r="D28" s="23" t="n"/>
      <c r="E28" s="23" t="inlineStr">
        <is>
          <t>шт</t>
        </is>
      </c>
      <c r="F28" s="102" t="n">
        <v>1268.8</v>
      </c>
      <c r="G28" s="34">
        <f>H28*(1+'Параметры'!$C$6)</f>
        <v/>
      </c>
      <c r="H28" s="34">
        <f>IF(OR(D28="",F28=""),0,D28*F28)</f>
        <v/>
      </c>
      <c r="I28" s="34">
        <f>H28*'Параметры'!$C$6</f>
        <v/>
      </c>
      <c r="J28" s="36" t="n">
        <v>16</v>
      </c>
    </row>
    <row r="29" ht="15.75" customHeight="1" s="106">
      <c r="B29" s="23" t="inlineStr">
        <is>
          <t>Труба в/г</t>
        </is>
      </c>
      <c r="C29" s="23" t="inlineStr">
        <is>
          <t>32х3.2</t>
        </is>
      </c>
      <c r="D29" s="23" t="n"/>
      <c r="E29" s="23" t="inlineStr">
        <is>
          <t>шт</t>
        </is>
      </c>
      <c r="F29" s="102" t="n">
        <v>1586</v>
      </c>
      <c r="G29" s="34">
        <f>H29*(1+'Параметры'!$C$6)</f>
        <v/>
      </c>
      <c r="H29" s="34">
        <f>IF(OR(D29="",F29=""),0,D29*F29)</f>
        <v/>
      </c>
      <c r="I29" s="34">
        <f>H29*'Параметры'!$C$6</f>
        <v/>
      </c>
      <c r="J29" s="36" t="n">
        <v>20</v>
      </c>
    </row>
    <row r="30" ht="15.75" customHeight="1" s="106">
      <c r="B30" s="23" t="inlineStr">
        <is>
          <t>Труба в/г</t>
        </is>
      </c>
      <c r="C30" s="23" t="inlineStr">
        <is>
          <t>40х3.5</t>
        </is>
      </c>
      <c r="D30" s="23" t="n"/>
      <c r="E30" s="23" t="inlineStr">
        <is>
          <t>шт</t>
        </is>
      </c>
      <c r="F30" s="102" t="n">
        <v>1982.5</v>
      </c>
      <c r="G30" s="34">
        <f>H30*(1+'Параметры'!$C$6)</f>
        <v/>
      </c>
      <c r="H30" s="34">
        <f>IF(OR(D30="",F30=""),0,D30*F30)</f>
        <v/>
      </c>
      <c r="I30" s="34">
        <f>H30*'Параметры'!$C$6</f>
        <v/>
      </c>
      <c r="J30" s="36" t="n">
        <v>25</v>
      </c>
    </row>
    <row r="31" ht="15.75" customHeight="1" s="106">
      <c r="B31" s="23" t="inlineStr">
        <is>
          <t>Прокат круглый</t>
        </is>
      </c>
      <c r="C31" s="23" t="inlineStr">
        <is>
          <t>Ø6</t>
        </is>
      </c>
      <c r="D31" s="23" t="n"/>
      <c r="E31" s="23" t="inlineStr">
        <is>
          <t>шт</t>
        </is>
      </c>
      <c r="F31" s="102" t="n">
        <v>156.24</v>
      </c>
      <c r="G31" s="34">
        <f>H31*(1+'Параметры'!$C$6)</f>
        <v/>
      </c>
      <c r="H31" s="34">
        <f>IF(OR(D31="",F31=""),0,D31*F31)</f>
        <v/>
      </c>
      <c r="I31" s="34">
        <f>H31*'Параметры'!$C$6</f>
        <v/>
      </c>
      <c r="J31" s="36" t="n">
        <v>1.6</v>
      </c>
    </row>
    <row r="32" ht="15.75" customHeight="1" s="106">
      <c r="B32" s="23" t="inlineStr">
        <is>
          <t>Прокат круглый</t>
        </is>
      </c>
      <c r="C32" s="23" t="inlineStr">
        <is>
          <t>Ø8</t>
        </is>
      </c>
      <c r="D32" s="23" t="n"/>
      <c r="E32" s="23" t="inlineStr">
        <is>
          <t>шт</t>
        </is>
      </c>
      <c r="F32" s="102" t="n">
        <v>270.87</v>
      </c>
      <c r="G32" s="34">
        <f>H32*(1+'Параметры'!$C$6)</f>
        <v/>
      </c>
      <c r="H32" s="34">
        <f>IF(OR(D32="",F32=""),0,D32*F32)</f>
        <v/>
      </c>
      <c r="I32" s="34">
        <f>H32*'Параметры'!$C$6</f>
        <v/>
      </c>
      <c r="J32" s="36" t="n">
        <v>2.8</v>
      </c>
    </row>
    <row r="33" ht="15.75" customHeight="1" s="106">
      <c r="B33" s="23" t="inlineStr">
        <is>
          <t>Прокат круглый</t>
        </is>
      </c>
      <c r="C33" s="23" t="inlineStr">
        <is>
          <t>Ø10</t>
        </is>
      </c>
      <c r="D33" s="23" t="n"/>
      <c r="E33" s="23" t="inlineStr">
        <is>
          <t>шт</t>
        </is>
      </c>
      <c r="F33" s="102" t="n">
        <v>387.8</v>
      </c>
      <c r="G33" s="34">
        <f>H33*(1+'Параметры'!$C$6)</f>
        <v/>
      </c>
      <c r="H33" s="34">
        <f>IF(OR(D33="",F33=""),0,D33*F33)</f>
        <v/>
      </c>
      <c r="I33" s="34">
        <f>H33*'Параметры'!$C$6</f>
        <v/>
      </c>
      <c r="J33" s="36" t="n">
        <v>4</v>
      </c>
    </row>
    <row r="34" ht="15.75" customHeight="1" s="106">
      <c r="B34" s="23" t="inlineStr">
        <is>
          <t>Прокат круглый</t>
        </is>
      </c>
      <c r="C34" s="23" t="inlineStr">
        <is>
          <t>Ø12</t>
        </is>
      </c>
      <c r="D34" s="23" t="n"/>
      <c r="E34" s="23" t="inlineStr">
        <is>
          <t>шт</t>
        </is>
      </c>
      <c r="F34" s="102" t="n">
        <v>581.7</v>
      </c>
      <c r="G34" s="34">
        <f>H34*(1+'Параметры'!$C$6)</f>
        <v/>
      </c>
      <c r="H34" s="34">
        <f>IF(OR(D34="",F34=""),0,D34*F34)</f>
        <v/>
      </c>
      <c r="I34" s="34">
        <f>H34*'Параметры'!$C$6</f>
        <v/>
      </c>
      <c r="J34" s="36" t="n">
        <v>6</v>
      </c>
    </row>
    <row r="35" ht="15.75" customHeight="1" s="106">
      <c r="B35" s="23" t="inlineStr">
        <is>
          <t>Прокат круглый</t>
        </is>
      </c>
      <c r="C35" s="23" t="inlineStr">
        <is>
          <t>Ø14</t>
        </is>
      </c>
      <c r="D35" s="23" t="n"/>
      <c r="E35" s="23" t="inlineStr">
        <is>
          <t>шт</t>
        </is>
      </c>
      <c r="F35" s="102" t="n">
        <v>1352.55</v>
      </c>
      <c r="G35" s="34">
        <f>H35*(1+'Параметры'!$C$6)</f>
        <v/>
      </c>
      <c r="H35" s="34">
        <f>IF(OR(D35="",F35=""),0,D35*F35)</f>
        <v/>
      </c>
      <c r="I35" s="34">
        <f>H35*'Параметры'!$C$6</f>
        <v/>
      </c>
      <c r="J35" s="36" t="n">
        <v>15</v>
      </c>
    </row>
    <row r="36" ht="15.75" customHeight="1" s="106">
      <c r="B36" s="23" t="inlineStr">
        <is>
          <t>Прокат круглый</t>
        </is>
      </c>
      <c r="C36" s="23" t="inlineStr">
        <is>
          <t>Ø16</t>
        </is>
      </c>
      <c r="D36" s="23" t="n"/>
      <c r="E36" s="23" t="inlineStr">
        <is>
          <t>шт</t>
        </is>
      </c>
      <c r="F36" s="102" t="n">
        <v>901.7</v>
      </c>
      <c r="G36" s="34">
        <f>H36*(1+'Параметры'!$C$6)</f>
        <v/>
      </c>
      <c r="H36" s="34">
        <f>IF(OR(D36="",F36=""),0,D36*F36)</f>
        <v/>
      </c>
      <c r="I36" s="34">
        <f>H36*'Параметры'!$C$6</f>
        <v/>
      </c>
      <c r="J36" s="36" t="n">
        <v>10</v>
      </c>
    </row>
    <row r="37" ht="15.75" customHeight="1" s="106">
      <c r="B37" s="93" t="inlineStr">
        <is>
          <t>Итого прокат</t>
        </is>
      </c>
      <c r="F37" s="93" t="inlineStr">
        <is>
          <t>Прокат — себестоимость:</t>
        </is>
      </c>
      <c r="G37" s="18">
        <f>SUM(G6:G36)</f>
        <v/>
      </c>
      <c r="H37" s="18">
        <f>SUM(H6:H36)</f>
        <v/>
      </c>
      <c r="I37" s="18">
        <f>SUM(I6:I36)</f>
        <v/>
      </c>
    </row>
    <row r="38" ht="15.75" customHeight="1" s="106"/>
    <row r="39" ht="15.75" customHeight="1" s="106">
      <c r="B39" s="107" t="inlineStr">
        <is>
          <t>ПЛАЗМА / ЛАЗЕР (до 10 позиций)</t>
        </is>
      </c>
      <c r="C39" s="109" t="n"/>
      <c r="D39" s="109" t="n"/>
      <c r="E39" s="109" t="n"/>
      <c r="F39" s="109" t="n"/>
      <c r="G39" s="109" t="n"/>
      <c r="H39" s="109" t="n"/>
      <c r="I39" s="108" t="n"/>
    </row>
    <row r="40" ht="15.75" customHeight="1" s="106"/>
    <row r="41" ht="15.75" customHeight="1" s="106">
      <c r="B41" s="5" t="inlineStr">
        <is>
          <t>Позиция</t>
        </is>
      </c>
      <c r="C41" s="5" t="inlineStr">
        <is>
          <t>Сечение / описание</t>
        </is>
      </c>
      <c r="D41" s="5" t="inlineStr">
        <is>
          <t>Кол-во</t>
        </is>
      </c>
      <c r="E41" s="5" t="inlineStr">
        <is>
          <t>Ед.</t>
        </is>
      </c>
      <c r="F41" s="5" t="inlineStr">
        <is>
          <t>Цена поставщика</t>
        </is>
      </c>
      <c r="G41" s="5" t="inlineStr">
        <is>
          <t>С наценкой менеджера</t>
        </is>
      </c>
      <c r="H41" s="5" t="inlineStr">
        <is>
          <t>Себестоимость</t>
        </is>
      </c>
      <c r="I41" s="5" t="inlineStr">
        <is>
          <t>Наценка менеджера</t>
        </is>
      </c>
    </row>
    <row r="42" ht="15.75" customHeight="1" s="106">
      <c r="B42" s="23" t="n"/>
      <c r="C42" s="23" t="n"/>
      <c r="D42" s="23" t="n">
        <v>0</v>
      </c>
      <c r="E42" s="23" t="inlineStr">
        <is>
          <t>шт</t>
        </is>
      </c>
      <c r="F42" s="102" t="n">
        <v>0</v>
      </c>
      <c r="G42" s="34">
        <f>H42*(1+'Параметры'!$C$6)</f>
        <v/>
      </c>
      <c r="H42" s="34">
        <f>IF(OR(D42="",F42=""),0,D42*F42)</f>
        <v/>
      </c>
      <c r="I42" s="34">
        <f>H42*'Параметры'!$C$6</f>
        <v/>
      </c>
    </row>
    <row r="43" ht="15.75" customHeight="1" s="106">
      <c r="B43" s="23" t="n"/>
      <c r="C43" s="23" t="n"/>
      <c r="D43" s="23" t="n">
        <v>0</v>
      </c>
      <c r="E43" s="23" t="inlineStr">
        <is>
          <t>шт</t>
        </is>
      </c>
      <c r="F43" s="102" t="n">
        <v>0</v>
      </c>
      <c r="G43" s="34">
        <f>H43*(1+'Параметры'!$C$6)</f>
        <v/>
      </c>
      <c r="H43" s="34">
        <f>IF(OR(D43="",F43=""),0,D43*F43)</f>
        <v/>
      </c>
      <c r="I43" s="34">
        <f>H43*'Параметры'!$C$6</f>
        <v/>
      </c>
    </row>
    <row r="44" ht="15.75" customHeight="1" s="106">
      <c r="B44" s="23" t="n"/>
      <c r="C44" s="23" t="n"/>
      <c r="D44" s="23" t="n">
        <v>0</v>
      </c>
      <c r="E44" s="23" t="inlineStr">
        <is>
          <t>шт</t>
        </is>
      </c>
      <c r="F44" s="102" t="n">
        <v>0</v>
      </c>
      <c r="G44" s="34">
        <f>H44*(1+'Параметры'!$C$6)</f>
        <v/>
      </c>
      <c r="H44" s="34">
        <f>IF(OR(D44="",F44=""),0,D44*F44)</f>
        <v/>
      </c>
      <c r="I44" s="34">
        <f>H44*'Параметры'!$C$6</f>
        <v/>
      </c>
    </row>
    <row r="45" ht="15.75" customHeight="1" s="106">
      <c r="B45" s="23" t="n"/>
      <c r="C45" s="23" t="n"/>
      <c r="D45" s="23" t="n">
        <v>0</v>
      </c>
      <c r="E45" s="23" t="inlineStr">
        <is>
          <t>шт</t>
        </is>
      </c>
      <c r="F45" s="102" t="n">
        <v>0</v>
      </c>
      <c r="G45" s="34">
        <f>H45*(1+'Параметры'!$C$6)</f>
        <v/>
      </c>
      <c r="H45" s="34">
        <f>IF(OR(D45="",F45=""),0,D45*F45)</f>
        <v/>
      </c>
      <c r="I45" s="34">
        <f>H45*'Параметры'!$C$6</f>
        <v/>
      </c>
    </row>
    <row r="46" ht="15.75" customHeight="1" s="106">
      <c r="B46" s="23" t="n"/>
      <c r="C46" s="23" t="n"/>
      <c r="D46" s="23" t="n">
        <v>0</v>
      </c>
      <c r="E46" s="23" t="inlineStr">
        <is>
          <t>шт</t>
        </is>
      </c>
      <c r="F46" s="102" t="n">
        <v>0</v>
      </c>
      <c r="G46" s="34">
        <f>H46*(1+'Параметры'!$C$6)</f>
        <v/>
      </c>
      <c r="H46" s="34">
        <f>IF(OR(D46="",F46=""),0,D46*F46)</f>
        <v/>
      </c>
      <c r="I46" s="34">
        <f>H46*'Параметры'!$C$6</f>
        <v/>
      </c>
    </row>
    <row r="47" ht="15.75" customHeight="1" s="106">
      <c r="B47" s="23" t="n"/>
      <c r="C47" s="23" t="n"/>
      <c r="D47" s="23" t="n">
        <v>0</v>
      </c>
      <c r="E47" s="23" t="inlineStr">
        <is>
          <t>шт</t>
        </is>
      </c>
      <c r="F47" s="102" t="n">
        <v>0</v>
      </c>
      <c r="G47" s="34">
        <f>H47*(1+'Параметры'!$C$6)</f>
        <v/>
      </c>
      <c r="H47" s="34">
        <f>IF(OR(D47="",F47=""),0,D47*F47)</f>
        <v/>
      </c>
      <c r="I47" s="34">
        <f>H47*'Параметры'!$C$6</f>
        <v/>
      </c>
    </row>
    <row r="48" ht="15.75" customHeight="1" s="106">
      <c r="B48" s="23" t="n"/>
      <c r="C48" s="23" t="n"/>
      <c r="D48" s="23" t="n">
        <v>0</v>
      </c>
      <c r="E48" s="23" t="inlineStr">
        <is>
          <t>шт</t>
        </is>
      </c>
      <c r="F48" s="102" t="n">
        <v>0</v>
      </c>
      <c r="G48" s="34">
        <f>H48*(1+'Параметры'!$C$6)</f>
        <v/>
      </c>
      <c r="H48" s="34">
        <f>IF(OR(D48="",F48=""),0,D48*F48)</f>
        <v/>
      </c>
      <c r="I48" s="34">
        <f>H48*'Параметры'!$C$6</f>
        <v/>
      </c>
    </row>
    <row r="49" ht="15.75" customHeight="1" s="106">
      <c r="B49" s="23" t="n"/>
      <c r="C49" s="23" t="n"/>
      <c r="D49" s="23" t="n">
        <v>0</v>
      </c>
      <c r="E49" s="23" t="inlineStr">
        <is>
          <t>шт</t>
        </is>
      </c>
      <c r="F49" s="102" t="n">
        <v>0</v>
      </c>
      <c r="G49" s="34">
        <f>H49*(1+'Параметры'!$C$6)</f>
        <v/>
      </c>
      <c r="H49" s="34">
        <f>IF(OR(D49="",F49=""),0,D49*F49)</f>
        <v/>
      </c>
      <c r="I49" s="34">
        <f>H49*'Параметры'!$C$6</f>
        <v/>
      </c>
    </row>
    <row r="50" ht="15.75" customHeight="1" s="106">
      <c r="B50" s="23" t="n"/>
      <c r="C50" s="23" t="n"/>
      <c r="D50" s="23" t="n">
        <v>0</v>
      </c>
      <c r="E50" s="23" t="inlineStr">
        <is>
          <t>шт</t>
        </is>
      </c>
      <c r="F50" s="102" t="n">
        <v>0</v>
      </c>
      <c r="G50" s="34">
        <f>H50*(1+'Параметры'!$C$6)</f>
        <v/>
      </c>
      <c r="H50" s="34">
        <f>IF(OR(D50="",F50=""),0,D50*F50)</f>
        <v/>
      </c>
      <c r="I50" s="34">
        <f>H50*'Параметры'!$C$6</f>
        <v/>
      </c>
    </row>
    <row r="51" ht="15.75" customHeight="1" s="106">
      <c r="B51" s="23" t="n"/>
      <c r="C51" s="23" t="n"/>
      <c r="D51" s="23" t="n">
        <v>0</v>
      </c>
      <c r="E51" s="23" t="inlineStr">
        <is>
          <t>шт</t>
        </is>
      </c>
      <c r="F51" s="102" t="n">
        <v>0</v>
      </c>
      <c r="G51" s="34">
        <f>H51*(1+'Параметры'!$C$6)</f>
        <v/>
      </c>
      <c r="H51" s="34">
        <f>IF(OR(D51="",F51=""),0,D51*F51)</f>
        <v/>
      </c>
      <c r="I51" s="34">
        <f>H51*'Параметры'!$C$6</f>
        <v/>
      </c>
    </row>
    <row r="52" ht="15.75" customHeight="1" s="106">
      <c r="F52" s="99" t="inlineStr">
        <is>
          <t>ПЛАЗМА / ЛАЗЕР — себестоимость:</t>
        </is>
      </c>
      <c r="G52" s="18">
        <f>SUM(G42:G51)</f>
        <v/>
      </c>
      <c r="H52" s="18">
        <f>SUM(H42:H51)</f>
        <v/>
      </c>
      <c r="I52" s="18">
        <f>SUM(I42:I51)</f>
        <v/>
      </c>
    </row>
    <row r="53" ht="15.75" customHeight="1" s="106"/>
    <row r="54" ht="15.75" customHeight="1" s="106">
      <c r="B54" s="107" t="inlineStr">
        <is>
          <t>КОВАНЫЕ ЭЛЕМЕНТЫ / СПЕЦ. ПРОКАТ (до 10 позиций)</t>
        </is>
      </c>
      <c r="C54" s="109" t="n"/>
      <c r="D54" s="109" t="n"/>
      <c r="E54" s="109" t="n"/>
      <c r="F54" s="109" t="n"/>
      <c r="G54" s="109" t="n"/>
      <c r="H54" s="109" t="n"/>
      <c r="I54" s="108" t="n"/>
    </row>
    <row r="55" ht="15.75" customHeight="1" s="106"/>
    <row r="56" ht="15.75" customHeight="1" s="106">
      <c r="B56" s="5" t="inlineStr">
        <is>
          <t>Элемент / артикул</t>
        </is>
      </c>
      <c r="C56" s="5" t="inlineStr">
        <is>
          <t>Сечение</t>
        </is>
      </c>
      <c r="D56" s="5" t="inlineStr">
        <is>
          <t>Кол-во</t>
        </is>
      </c>
      <c r="E56" s="5" t="inlineStr">
        <is>
          <t>Ед.</t>
        </is>
      </c>
      <c r="F56" s="5" t="inlineStr">
        <is>
          <t>Цена поставщика</t>
        </is>
      </c>
      <c r="G56" s="5" t="inlineStr">
        <is>
          <t>С наценкой менеджера</t>
        </is>
      </c>
      <c r="H56" s="5" t="inlineStr">
        <is>
          <t>Себестоимость</t>
        </is>
      </c>
      <c r="I56" s="5" t="inlineStr">
        <is>
          <t>Наценка менеджера</t>
        </is>
      </c>
    </row>
    <row r="57" ht="15.75" customHeight="1" s="106">
      <c r="B57" s="23" t="inlineStr">
        <is>
          <t>Пики</t>
        </is>
      </c>
      <c r="C57" s="23" t="n"/>
      <c r="D57" s="23" t="n"/>
      <c r="E57" s="23" t="inlineStr">
        <is>
          <t>шт</t>
        </is>
      </c>
      <c r="F57" s="102" t="n">
        <v>3200</v>
      </c>
      <c r="G57" s="34">
        <f>H57*(1+'Параметры'!$C$6)</f>
        <v/>
      </c>
      <c r="H57" s="34">
        <f>IF(OR(D57="",F57=""),0,D57*F57)</f>
        <v/>
      </c>
      <c r="I57" s="34">
        <f>H57*'Параметры'!$C$6</f>
        <v/>
      </c>
    </row>
    <row r="58" ht="15.75" customHeight="1" s="106">
      <c r="B58" s="23" t="inlineStr">
        <is>
          <t>Полоса</t>
        </is>
      </c>
      <c r="C58" s="23" t="n"/>
      <c r="D58" s="23" t="n"/>
      <c r="E58" s="23" t="inlineStr">
        <is>
          <t>шт</t>
        </is>
      </c>
      <c r="F58" s="102" t="n">
        <v>10340</v>
      </c>
      <c r="G58" s="34">
        <f>H58*(1+'Параметры'!$C$6)</f>
        <v/>
      </c>
      <c r="H58" s="34">
        <f>IF(OR(D58="",F58=""),0,D58*F58)</f>
        <v/>
      </c>
      <c r="I58" s="34">
        <f>H58*'Параметры'!$C$6</f>
        <v/>
      </c>
    </row>
    <row r="59" ht="15.75" customHeight="1" s="106">
      <c r="B59" s="23" t="inlineStr">
        <is>
          <t>шар</t>
        </is>
      </c>
      <c r="C59" s="23" t="n"/>
      <c r="D59" s="23" t="n"/>
      <c r="E59" s="23" t="inlineStr">
        <is>
          <t>шт</t>
        </is>
      </c>
      <c r="F59" s="102" t="n">
        <v>1050</v>
      </c>
      <c r="G59" s="34">
        <f>H59*(1+'Параметры'!$C$6)</f>
        <v/>
      </c>
      <c r="H59" s="34">
        <f>IF(OR(D59="",F59=""),0,D59*F59)</f>
        <v/>
      </c>
      <c r="I59" s="34">
        <f>H59*'Параметры'!$C$6</f>
        <v/>
      </c>
    </row>
    <row r="60" ht="15.75" customHeight="1" s="106">
      <c r="B60" s="23" t="n"/>
      <c r="C60" s="23" t="n"/>
      <c r="D60" s="23" t="n"/>
      <c r="E60" s="23" t="inlineStr">
        <is>
          <t>шт</t>
        </is>
      </c>
      <c r="F60" s="102" t="n">
        <v>0</v>
      </c>
      <c r="G60" s="34">
        <f>H60*(1+'Параметры'!$C$6)</f>
        <v/>
      </c>
      <c r="H60" s="34">
        <f>IF(OR(D60="",F60=""),0,D60*F60)</f>
        <v/>
      </c>
      <c r="I60" s="34">
        <f>H60*'Параметры'!$C$6</f>
        <v/>
      </c>
    </row>
    <row r="61" ht="15.75" customHeight="1" s="106">
      <c r="B61" s="23" t="n"/>
      <c r="C61" s="23" t="n"/>
      <c r="D61" s="23" t="n"/>
      <c r="E61" s="23" t="inlineStr">
        <is>
          <t>шт</t>
        </is>
      </c>
      <c r="F61" s="102" t="n">
        <v>0</v>
      </c>
      <c r="G61" s="34">
        <f>H61*(1+'Параметры'!$C$6)</f>
        <v/>
      </c>
      <c r="H61" s="34">
        <f>IF(OR(D61="",F61=""),0,D61*F61)</f>
        <v/>
      </c>
      <c r="I61" s="34">
        <f>H61*'Параметры'!$C$6</f>
        <v/>
      </c>
    </row>
    <row r="62" ht="15.75" customHeight="1" s="106">
      <c r="B62" s="23" t="n"/>
      <c r="C62" s="23" t="n"/>
      <c r="D62" s="23" t="n">
        <v>0</v>
      </c>
      <c r="E62" s="23" t="inlineStr">
        <is>
          <t>шт</t>
        </is>
      </c>
      <c r="F62" s="102" t="n">
        <v>0</v>
      </c>
      <c r="G62" s="34">
        <f>H62*(1+'Параметры'!$C$6)</f>
        <v/>
      </c>
      <c r="H62" s="34">
        <f>IF(OR(D62="",F62=""),0,D62*F62)</f>
        <v/>
      </c>
      <c r="I62" s="34">
        <f>H62*'Параметры'!$C$6</f>
        <v/>
      </c>
    </row>
    <row r="63" ht="15.75" customHeight="1" s="106">
      <c r="B63" s="23" t="n"/>
      <c r="C63" s="23" t="n"/>
      <c r="D63" s="23" t="n">
        <v>0</v>
      </c>
      <c r="E63" s="23" t="inlineStr">
        <is>
          <t>шт</t>
        </is>
      </c>
      <c r="F63" s="102" t="n">
        <v>0</v>
      </c>
      <c r="G63" s="34">
        <f>H63*(1+'Параметры'!$C$6)</f>
        <v/>
      </c>
      <c r="H63" s="34">
        <f>IF(OR(D63="",F63=""),0,D63*F63)</f>
        <v/>
      </c>
      <c r="I63" s="34">
        <f>H63*'Параметры'!$C$6</f>
        <v/>
      </c>
    </row>
    <row r="64" ht="15.75" customHeight="1" s="106">
      <c r="B64" s="23" t="n"/>
      <c r="C64" s="23" t="n"/>
      <c r="D64" s="23" t="n">
        <v>0</v>
      </c>
      <c r="E64" s="23" t="inlineStr">
        <is>
          <t>шт</t>
        </is>
      </c>
      <c r="F64" s="102" t="n">
        <v>0</v>
      </c>
      <c r="G64" s="34">
        <f>H64*(1+'Параметры'!$C$6)</f>
        <v/>
      </c>
      <c r="H64" s="34">
        <f>IF(OR(D64="",F64=""),0,D64*F64)</f>
        <v/>
      </c>
      <c r="I64" s="34">
        <f>H64*'Параметры'!$C$6</f>
        <v/>
      </c>
    </row>
    <row r="65" ht="15.75" customHeight="1" s="106">
      <c r="B65" s="23" t="n"/>
      <c r="C65" s="23" t="n"/>
      <c r="D65" s="23" t="n">
        <v>0</v>
      </c>
      <c r="E65" s="23" t="inlineStr">
        <is>
          <t>шт</t>
        </is>
      </c>
      <c r="F65" s="102" t="n">
        <v>0</v>
      </c>
      <c r="G65" s="34">
        <f>H65*(1+'Параметры'!$C$6)</f>
        <v/>
      </c>
      <c r="H65" s="34">
        <f>IF(OR(D65="",F65=""),0,D65*F65)</f>
        <v/>
      </c>
      <c r="I65" s="34">
        <f>H65*'Параметры'!$C$6</f>
        <v/>
      </c>
    </row>
    <row r="66" ht="15.75" customHeight="1" s="106">
      <c r="B66" s="23" t="n"/>
      <c r="C66" s="23" t="n"/>
      <c r="D66" s="23" t="n">
        <v>0</v>
      </c>
      <c r="E66" s="23" t="inlineStr">
        <is>
          <t>шт</t>
        </is>
      </c>
      <c r="F66" s="102" t="n">
        <v>0</v>
      </c>
      <c r="G66" s="34">
        <f>H66*(1+'Параметры'!$C$6)</f>
        <v/>
      </c>
      <c r="H66" s="34">
        <f>IF(OR(D66="",F66=""),0,D66*F66)</f>
        <v/>
      </c>
      <c r="I66" s="34">
        <f>H66*'Параметры'!$C$6</f>
        <v/>
      </c>
    </row>
    <row r="67" ht="15.75" customHeight="1" s="106">
      <c r="F67" s="99" t="inlineStr">
        <is>
          <t>КОВАНЫЕ ЭЛЕМЕНТЫ / СПЕЦ. ПРОКАТ — себестоимость:</t>
        </is>
      </c>
      <c r="G67" s="18">
        <f>SUM(G57:G66)</f>
        <v/>
      </c>
      <c r="H67" s="18">
        <f>SUM(H57:H66)</f>
        <v/>
      </c>
      <c r="I67" s="18">
        <f>SUM(I57:I66)</f>
        <v/>
      </c>
    </row>
    <row r="68" ht="15.75" customHeight="1" s="106"/>
    <row r="69" ht="15.75" customHeight="1" s="106">
      <c r="B69" s="107" t="inlineStr">
        <is>
          <t>ТОКАРНЫЕ РАБОТЫ (до 10 позиций)</t>
        </is>
      </c>
      <c r="C69" s="109" t="n"/>
      <c r="D69" s="109" t="n"/>
      <c r="E69" s="109" t="n"/>
      <c r="F69" s="109" t="n"/>
      <c r="G69" s="109" t="n"/>
      <c r="H69" s="109" t="n"/>
      <c r="I69" s="108" t="n"/>
    </row>
    <row r="70" ht="15.75" customHeight="1" s="106"/>
    <row r="71" ht="15.75" customHeight="1" s="106">
      <c r="B71" s="5" t="inlineStr">
        <is>
          <t>Позиция</t>
        </is>
      </c>
      <c r="C71" s="5" t="inlineStr">
        <is>
          <t>Сечение / описание</t>
        </is>
      </c>
      <c r="D71" s="5" t="inlineStr">
        <is>
          <t>Кол-во</t>
        </is>
      </c>
      <c r="E71" s="5" t="inlineStr">
        <is>
          <t>Ед.</t>
        </is>
      </c>
      <c r="F71" s="5" t="inlineStr">
        <is>
          <t>Цена поставщика</t>
        </is>
      </c>
      <c r="G71" s="5" t="inlineStr">
        <is>
          <t>С наценкой менеджера</t>
        </is>
      </c>
      <c r="H71" s="5" t="inlineStr">
        <is>
          <t>Себестоимость</t>
        </is>
      </c>
      <c r="I71" s="5" t="inlineStr">
        <is>
          <t>Наценка менеджера</t>
        </is>
      </c>
    </row>
    <row r="72" ht="15.75" customHeight="1" s="106">
      <c r="B72" s="23" t="n"/>
      <c r="C72" s="23" t="n"/>
      <c r="D72" s="23" t="n">
        <v>0</v>
      </c>
      <c r="E72" s="23" t="inlineStr">
        <is>
          <t>шт</t>
        </is>
      </c>
      <c r="F72" s="102" t="n">
        <v>0</v>
      </c>
      <c r="G72" s="34">
        <f>H72*(1+'Параметры'!$C$6)</f>
        <v/>
      </c>
      <c r="H72" s="34">
        <f>IF(OR(D72="",F72=""),0,D72*F72)</f>
        <v/>
      </c>
      <c r="I72" s="34">
        <f>H72*'Параметры'!$C$6</f>
        <v/>
      </c>
    </row>
    <row r="73" ht="15.75" customHeight="1" s="106">
      <c r="B73" s="23" t="n"/>
      <c r="C73" s="23" t="n"/>
      <c r="D73" s="23" t="n">
        <v>0</v>
      </c>
      <c r="E73" s="23" t="inlineStr">
        <is>
          <t>шт</t>
        </is>
      </c>
      <c r="F73" s="102" t="n">
        <v>0</v>
      </c>
      <c r="G73" s="34">
        <f>H73*(1+'Параметры'!$C$6)</f>
        <v/>
      </c>
      <c r="H73" s="34">
        <f>IF(OR(D73="",F73=""),0,D73*F73)</f>
        <v/>
      </c>
      <c r="I73" s="34">
        <f>H73*'Параметры'!$C$6</f>
        <v/>
      </c>
    </row>
    <row r="74" ht="15.75" customHeight="1" s="106">
      <c r="B74" s="23" t="n"/>
      <c r="C74" s="23" t="n"/>
      <c r="D74" s="23" t="n">
        <v>0</v>
      </c>
      <c r="E74" s="23" t="inlineStr">
        <is>
          <t>шт</t>
        </is>
      </c>
      <c r="F74" s="102" t="n">
        <v>0</v>
      </c>
      <c r="G74" s="34">
        <f>H74*(1+'Параметры'!$C$6)</f>
        <v/>
      </c>
      <c r="H74" s="34">
        <f>IF(OR(D74="",F74=""),0,D74*F74)</f>
        <v/>
      </c>
      <c r="I74" s="34">
        <f>H74*'Параметры'!$C$6</f>
        <v/>
      </c>
    </row>
    <row r="75" ht="15.75" customHeight="1" s="106">
      <c r="B75" s="23" t="n"/>
      <c r="C75" s="23" t="n"/>
      <c r="D75" s="23" t="n">
        <v>0</v>
      </c>
      <c r="E75" s="23" t="inlineStr">
        <is>
          <t>шт</t>
        </is>
      </c>
      <c r="F75" s="102" t="n">
        <v>0</v>
      </c>
      <c r="G75" s="34">
        <f>H75*(1+'Параметры'!$C$6)</f>
        <v/>
      </c>
      <c r="H75" s="34">
        <f>IF(OR(D75="",F75=""),0,D75*F75)</f>
        <v/>
      </c>
      <c r="I75" s="34">
        <f>H75*'Параметры'!$C$6</f>
        <v/>
      </c>
    </row>
    <row r="76" ht="15.75" customHeight="1" s="106">
      <c r="B76" s="23" t="n"/>
      <c r="C76" s="23" t="n"/>
      <c r="D76" s="23" t="n">
        <v>0</v>
      </c>
      <c r="E76" s="23" t="inlineStr">
        <is>
          <t>шт</t>
        </is>
      </c>
      <c r="F76" s="102" t="n">
        <v>0</v>
      </c>
      <c r="G76" s="34">
        <f>H76*(1+'Параметры'!$C$6)</f>
        <v/>
      </c>
      <c r="H76" s="34">
        <f>IF(OR(D76="",F76=""),0,D76*F76)</f>
        <v/>
      </c>
      <c r="I76" s="34">
        <f>H76*'Параметры'!$C$6</f>
        <v/>
      </c>
    </row>
    <row r="77" ht="15.75" customHeight="1" s="106">
      <c r="B77" s="23" t="n"/>
      <c r="C77" s="23" t="n"/>
      <c r="D77" s="23" t="n">
        <v>0</v>
      </c>
      <c r="E77" s="23" t="inlineStr">
        <is>
          <t>шт</t>
        </is>
      </c>
      <c r="F77" s="102" t="n">
        <v>0</v>
      </c>
      <c r="G77" s="34">
        <f>H77*(1+'Параметры'!$C$6)</f>
        <v/>
      </c>
      <c r="H77" s="34">
        <f>IF(OR(D77="",F77=""),0,D77*F77)</f>
        <v/>
      </c>
      <c r="I77" s="34">
        <f>H77*'Параметры'!$C$6</f>
        <v/>
      </c>
    </row>
    <row r="78" ht="15.75" customHeight="1" s="106">
      <c r="B78" s="23" t="n"/>
      <c r="C78" s="23" t="n"/>
      <c r="D78" s="23" t="n">
        <v>0</v>
      </c>
      <c r="E78" s="23" t="inlineStr">
        <is>
          <t>шт</t>
        </is>
      </c>
      <c r="F78" s="102" t="n">
        <v>0</v>
      </c>
      <c r="G78" s="34">
        <f>H78*(1+'Параметры'!$C$6)</f>
        <v/>
      </c>
      <c r="H78" s="34">
        <f>IF(OR(D78="",F78=""),0,D78*F78)</f>
        <v/>
      </c>
      <c r="I78" s="34">
        <f>H78*'Параметры'!$C$6</f>
        <v/>
      </c>
    </row>
    <row r="79" ht="15.75" customHeight="1" s="106">
      <c r="B79" s="23" t="n"/>
      <c r="C79" s="23" t="n"/>
      <c r="D79" s="23" t="n">
        <v>0</v>
      </c>
      <c r="E79" s="23" t="inlineStr">
        <is>
          <t>шт</t>
        </is>
      </c>
      <c r="F79" s="102" t="n">
        <v>0</v>
      </c>
      <c r="G79" s="34">
        <f>H79*(1+'Параметры'!$C$6)</f>
        <v/>
      </c>
      <c r="H79" s="34">
        <f>IF(OR(D79="",F79=""),0,D79*F79)</f>
        <v/>
      </c>
      <c r="I79" s="34">
        <f>H79*'Параметры'!$C$6</f>
        <v/>
      </c>
    </row>
    <row r="80" ht="15.75" customHeight="1" s="106">
      <c r="B80" s="23" t="n"/>
      <c r="C80" s="23" t="n"/>
      <c r="D80" s="23" t="n">
        <v>0</v>
      </c>
      <c r="E80" s="23" t="inlineStr">
        <is>
          <t>шт</t>
        </is>
      </c>
      <c r="F80" s="102" t="n">
        <v>0</v>
      </c>
      <c r="G80" s="34">
        <f>H80*(1+'Параметры'!$C$6)</f>
        <v/>
      </c>
      <c r="H80" s="34">
        <f>IF(OR(D80="",F80=""),0,D80*F80)</f>
        <v/>
      </c>
      <c r="I80" s="34">
        <f>H80*'Параметры'!$C$6</f>
        <v/>
      </c>
    </row>
    <row r="81" ht="15.75" customHeight="1" s="106">
      <c r="B81" s="23" t="n"/>
      <c r="C81" s="23" t="n"/>
      <c r="D81" s="23" t="n">
        <v>0</v>
      </c>
      <c r="E81" s="23" t="inlineStr">
        <is>
          <t>шт</t>
        </is>
      </c>
      <c r="F81" s="102" t="n">
        <v>0</v>
      </c>
      <c r="G81" s="34">
        <f>H81*(1+'Параметры'!$C$6)</f>
        <v/>
      </c>
      <c r="H81" s="34">
        <f>IF(OR(D81="",F81=""),0,D81*F81)</f>
        <v/>
      </c>
      <c r="I81" s="34">
        <f>H81*'Параметры'!$C$6</f>
        <v/>
      </c>
    </row>
    <row r="82" ht="15.75" customHeight="1" s="106">
      <c r="F82" s="99" t="inlineStr">
        <is>
          <t>ТОКАРНЫЕ РАБОТЫ — себестоимость:</t>
        </is>
      </c>
      <c r="G82" s="18">
        <f>SUM(G72:G81)</f>
        <v/>
      </c>
      <c r="H82" s="18">
        <f>SUM(H72:H81)</f>
        <v/>
      </c>
      <c r="I82" s="18">
        <f>SUM(I72:I81)</f>
        <v/>
      </c>
    </row>
    <row r="83" ht="15.75" customHeight="1" s="106"/>
    <row r="84" ht="15.75" customHeight="1" s="106">
      <c r="B84" s="107" t="inlineStr">
        <is>
          <t>ДОПОЛНИТЕЛЬНЫЕ КОМПЛЕКТУЮЩИЕ (до 10 позиций)</t>
        </is>
      </c>
      <c r="C84" s="109" t="n"/>
      <c r="D84" s="109" t="n"/>
      <c r="E84" s="109" t="n"/>
      <c r="F84" s="109" t="n"/>
      <c r="G84" s="109" t="n"/>
      <c r="H84" s="109" t="n"/>
      <c r="I84" s="108" t="n"/>
    </row>
    <row r="85" ht="15.75" customHeight="1" s="106"/>
    <row r="86" ht="15.75" customHeight="1" s="106">
      <c r="B86" s="5" t="inlineStr">
        <is>
          <t>Комплектующая</t>
        </is>
      </c>
      <c r="C86" s="5" t="inlineStr">
        <is>
          <t>Описание / артикул</t>
        </is>
      </c>
      <c r="D86" s="5" t="inlineStr">
        <is>
          <t>Кол-во</t>
        </is>
      </c>
      <c r="E86" s="5" t="inlineStr">
        <is>
          <t>Ед.</t>
        </is>
      </c>
      <c r="F86" s="5" t="inlineStr">
        <is>
          <t>Цена поставщика</t>
        </is>
      </c>
      <c r="G86" s="5" t="inlineStr">
        <is>
          <t>С наценкой менеджера</t>
        </is>
      </c>
      <c r="H86" s="5" t="inlineStr">
        <is>
          <t>Себестоимость</t>
        </is>
      </c>
      <c r="I86" s="5" t="inlineStr">
        <is>
          <t>Наценка менеджера</t>
        </is>
      </c>
    </row>
    <row r="87" ht="15.75" customHeight="1" s="106">
      <c r="B87" s="23" t="inlineStr">
        <is>
          <t>Петли</t>
        </is>
      </c>
      <c r="C87" s="23" t="n"/>
      <c r="D87" s="23" t="n"/>
      <c r="E87" s="23" t="inlineStr">
        <is>
          <t>шт</t>
        </is>
      </c>
      <c r="F87" s="102" t="n">
        <v>0</v>
      </c>
      <c r="G87" s="34">
        <f>H87*(1+'Параметры'!$C$6)</f>
        <v/>
      </c>
      <c r="H87" s="34">
        <f>IF(OR(D87="",F87=""),0,D87*F87)</f>
        <v/>
      </c>
      <c r="I87" s="34">
        <f>H87*'Параметры'!$C$6</f>
        <v/>
      </c>
    </row>
    <row r="88" ht="15.75" customHeight="1" s="106">
      <c r="B88" s="23" t="inlineStr">
        <is>
          <t>ЗАмок</t>
        </is>
      </c>
      <c r="C88" s="23" t="n"/>
      <c r="D88" s="23" t="n"/>
      <c r="E88" s="23" t="inlineStr">
        <is>
          <t>шт</t>
        </is>
      </c>
      <c r="F88" s="102" t="n">
        <v>0</v>
      </c>
      <c r="G88" s="34">
        <f>H88*(1+'Параметры'!$C$6)</f>
        <v/>
      </c>
      <c r="H88" s="34">
        <f>IF(OR(D88="",F88=""),0,D88*F88)</f>
        <v/>
      </c>
      <c r="I88" s="34">
        <f>H88*'Параметры'!$C$6</f>
        <v/>
      </c>
    </row>
    <row r="89" ht="15.75" customHeight="1" s="106">
      <c r="B89" s="23" t="n"/>
      <c r="C89" s="23" t="n"/>
      <c r="D89" s="23" t="n"/>
      <c r="E89" s="23" t="inlineStr">
        <is>
          <t>шт</t>
        </is>
      </c>
      <c r="F89" s="102" t="n">
        <v>0</v>
      </c>
      <c r="G89" s="34">
        <f>H89*(1+'Параметры'!$C$6)</f>
        <v/>
      </c>
      <c r="H89" s="34">
        <f>IF(OR(D89="",F89=""),0,D89*F89)</f>
        <v/>
      </c>
      <c r="I89" s="34">
        <f>H89*'Параметры'!$C$6</f>
        <v/>
      </c>
    </row>
    <row r="90" ht="15.75" customHeight="1" s="106">
      <c r="B90" s="23" t="n"/>
      <c r="C90" s="23" t="n"/>
      <c r="D90" s="23" t="n">
        <v>0</v>
      </c>
      <c r="E90" s="23" t="inlineStr">
        <is>
          <t>шт</t>
        </is>
      </c>
      <c r="F90" s="102" t="n">
        <v>0</v>
      </c>
      <c r="G90" s="34">
        <f>H90*(1+'Параметры'!$C$6)</f>
        <v/>
      </c>
      <c r="H90" s="34">
        <f>IF(OR(D90="",F90=""),0,D90*F90)</f>
        <v/>
      </c>
      <c r="I90" s="34">
        <f>H90*'Параметры'!$C$6</f>
        <v/>
      </c>
    </row>
    <row r="91" ht="15.75" customHeight="1" s="106">
      <c r="B91" s="23" t="n"/>
      <c r="C91" s="23" t="n"/>
      <c r="D91" s="23" t="n">
        <v>0</v>
      </c>
      <c r="E91" s="23" t="inlineStr">
        <is>
          <t>шт</t>
        </is>
      </c>
      <c r="F91" s="102" t="n">
        <v>0</v>
      </c>
      <c r="G91" s="34">
        <f>H91*(1+'Параметры'!$C$6)</f>
        <v/>
      </c>
      <c r="H91" s="34">
        <f>IF(OR(D91="",F91=""),0,D91*F91)</f>
        <v/>
      </c>
      <c r="I91" s="34">
        <f>H91*'Параметры'!$C$6</f>
        <v/>
      </c>
    </row>
    <row r="92" ht="15.75" customHeight="1" s="106">
      <c r="B92" s="23" t="n"/>
      <c r="C92" s="23" t="n"/>
      <c r="D92" s="23" t="n">
        <v>0</v>
      </c>
      <c r="E92" s="23" t="inlineStr">
        <is>
          <t>шт</t>
        </is>
      </c>
      <c r="F92" s="102" t="n">
        <v>0</v>
      </c>
      <c r="G92" s="34">
        <f>H92*(1+'Параметры'!$C$6)</f>
        <v/>
      </c>
      <c r="H92" s="34">
        <f>IF(OR(D92="",F92=""),0,D92*F92)</f>
        <v/>
      </c>
      <c r="I92" s="34">
        <f>H92*'Параметры'!$C$6</f>
        <v/>
      </c>
    </row>
    <row r="93" ht="15.75" customHeight="1" s="106">
      <c r="B93" s="23" t="n"/>
      <c r="C93" s="23" t="n"/>
      <c r="D93" s="23" t="n">
        <v>0</v>
      </c>
      <c r="E93" s="23" t="inlineStr">
        <is>
          <t>шт</t>
        </is>
      </c>
      <c r="F93" s="102" t="n">
        <v>0</v>
      </c>
      <c r="G93" s="34">
        <f>H93*(1+'Параметры'!$C$6)</f>
        <v/>
      </c>
      <c r="H93" s="34">
        <f>IF(OR(D93="",F93=""),0,D93*F93)</f>
        <v/>
      </c>
      <c r="I93" s="34">
        <f>H93*'Параметры'!$C$6</f>
        <v/>
      </c>
    </row>
    <row r="94" ht="15.75" customHeight="1" s="106">
      <c r="B94" s="23" t="n"/>
      <c r="C94" s="23" t="n"/>
      <c r="D94" s="23" t="n">
        <v>0</v>
      </c>
      <c r="E94" s="23" t="inlineStr">
        <is>
          <t>шт</t>
        </is>
      </c>
      <c r="F94" s="102" t="n">
        <v>0</v>
      </c>
      <c r="G94" s="34">
        <f>H94*(1+'Параметры'!$C$6)</f>
        <v/>
      </c>
      <c r="H94" s="34">
        <f>IF(OR(D94="",F94=""),0,D94*F94)</f>
        <v/>
      </c>
      <c r="I94" s="34">
        <f>H94*'Параметры'!$C$6</f>
        <v/>
      </c>
    </row>
    <row r="95" ht="15.75" customHeight="1" s="106">
      <c r="B95" s="23" t="n"/>
      <c r="C95" s="23" t="n"/>
      <c r="D95" s="23" t="n">
        <v>0</v>
      </c>
      <c r="E95" s="23" t="inlineStr">
        <is>
          <t>шт</t>
        </is>
      </c>
      <c r="F95" s="102" t="n">
        <v>0</v>
      </c>
      <c r="G95" s="34">
        <f>H95*(1+'Параметры'!$C$6)</f>
        <v/>
      </c>
      <c r="H95" s="34">
        <f>IF(OR(D95="",F95=""),0,D95*F95)</f>
        <v/>
      </c>
      <c r="I95" s="34">
        <f>H95*'Параметры'!$C$6</f>
        <v/>
      </c>
    </row>
    <row r="96" ht="15.75" customHeight="1" s="106">
      <c r="B96" s="23" t="n"/>
      <c r="C96" s="23" t="n"/>
      <c r="D96" s="23" t="n">
        <v>0</v>
      </c>
      <c r="E96" s="23" t="inlineStr">
        <is>
          <t>шт</t>
        </is>
      </c>
      <c r="F96" s="102" t="n">
        <v>0</v>
      </c>
      <c r="G96" s="34">
        <f>H96*(1+'Параметры'!$C$6)</f>
        <v/>
      </c>
      <c r="H96" s="34">
        <f>IF(OR(D96="",F96=""),0,D96*F96)</f>
        <v/>
      </c>
      <c r="I96" s="34">
        <f>H96*'Параметры'!$C$6</f>
        <v/>
      </c>
    </row>
    <row r="97" ht="15.75" customHeight="1" s="106">
      <c r="F97" s="99" t="inlineStr">
        <is>
          <t>ДОПОЛНИТЕЛЬНЫЕ КОМПЛЕКТУЮЩИЕ — себестоимость:</t>
        </is>
      </c>
      <c r="G97" s="18">
        <f>SUM(G87:G96)</f>
        <v/>
      </c>
      <c r="H97" s="18">
        <f>SUM(H87:H96)</f>
        <v/>
      </c>
      <c r="I97" s="18">
        <f>SUM(I87:I96)</f>
        <v/>
      </c>
    </row>
    <row r="98" ht="15.75" customHeight="1" s="106"/>
    <row r="99" ht="15.75" customHeight="1" s="106">
      <c r="F99" s="93" t="inlineStr">
        <is>
          <t>ВСЕГО металл — себестоимость:</t>
        </is>
      </c>
      <c r="H99" s="57">
        <f>H37+H52+H67+H82+H97</f>
        <v/>
      </c>
    </row>
    <row r="100" ht="15.75" customHeight="1" s="106">
      <c r="F100" s="93" t="inlineStr">
        <is>
          <t>ВСЕГО наценка менеджера с листа Металл:</t>
        </is>
      </c>
      <c r="H100" s="105">
        <f>I37+I52+I67+I82+I97</f>
        <v/>
      </c>
    </row>
    <row r="101" ht="15.75" customHeight="1" s="106"/>
    <row r="102" ht="15.75" customHeight="1" s="106">
      <c r="B102" s="3" t="inlineStr">
        <is>
          <t>Обновление прайса: меняйте жёлтые цены в колонке F. Кол-во D — под заказ. Прокат, плазма, ковка, токарка и комплектующие — с наценкой менеджера. Итоги уходят в Калькуляцию автоматически.</t>
        </is>
      </c>
    </row>
    <row r="103" ht="15.75" customHeight="1" s="106"/>
    <row r="104" ht="15.75" customHeight="1" s="106"/>
    <row r="105" ht="15.75" customHeight="1" s="106"/>
    <row r="106" ht="15.75" customHeight="1" s="106"/>
    <row r="107" ht="15.75" customHeight="1" s="106"/>
    <row r="108" ht="15.75" customHeight="1" s="106"/>
    <row r="109" ht="15.75" customHeight="1" s="106"/>
    <row r="110" ht="15.75" customHeight="1" s="106"/>
    <row r="111" ht="15.75" customHeight="1" s="106"/>
    <row r="112" ht="15.75" customHeight="1" s="106"/>
    <row r="113" ht="15.75" customHeight="1" s="106"/>
    <row r="114" ht="15.75" customHeight="1" s="106"/>
    <row r="115" ht="15.75" customHeight="1" s="106"/>
    <row r="116" ht="15.75" customHeight="1" s="106"/>
    <row r="117" ht="15.75" customHeight="1" s="106"/>
    <row r="118" ht="15.75" customHeight="1" s="106"/>
    <row r="119" ht="15.75" customHeight="1" s="106"/>
    <row r="120" ht="15.75" customHeight="1" s="106"/>
    <row r="121" ht="15.75" customHeight="1" s="106"/>
    <row r="122" ht="15.75" customHeight="1" s="106"/>
    <row r="123" ht="15.75" customHeight="1" s="106"/>
    <row r="124" ht="15.75" customHeight="1" s="106"/>
    <row r="125" ht="15.75" customHeight="1" s="106"/>
    <row r="126" ht="15.75" customHeight="1" s="106"/>
    <row r="127" ht="15.75" customHeight="1" s="106"/>
    <row r="128" ht="15.75" customHeight="1" s="106"/>
    <row r="129" ht="15.75" customHeight="1" s="106"/>
    <row r="130" ht="15.75" customHeight="1" s="106"/>
    <row r="131" ht="15.75" customHeight="1" s="106"/>
    <row r="132" ht="15.75" customHeight="1" s="106"/>
    <row r="133" ht="15.75" customHeight="1" s="106"/>
    <row r="134" ht="15.75" customHeight="1" s="106"/>
    <row r="135" ht="15.75" customHeight="1" s="106"/>
    <row r="136" ht="15.75" customHeight="1" s="106"/>
    <row r="137" ht="15.75" customHeight="1" s="106"/>
    <row r="138" ht="15.75" customHeight="1" s="106"/>
    <row r="139" ht="15.75" customHeight="1" s="106"/>
    <row r="140" ht="15.75" customHeight="1" s="106"/>
    <row r="141" ht="15.75" customHeight="1" s="106"/>
    <row r="142" ht="15.75" customHeight="1" s="106"/>
    <row r="143" ht="15.75" customHeight="1" s="106"/>
    <row r="144" ht="15.75" customHeight="1" s="106"/>
    <row r="145" ht="15.75" customHeight="1" s="106"/>
    <row r="146" ht="15.75" customHeight="1" s="106"/>
    <row r="147" ht="15.75" customHeight="1" s="106"/>
    <row r="148" ht="15.75" customHeight="1" s="106"/>
    <row r="149" ht="15.75" customHeight="1" s="106"/>
    <row r="150" ht="15.75" customHeight="1" s="106"/>
    <row r="151" ht="15.75" customHeight="1" s="106"/>
    <row r="152" ht="15.75" customHeight="1" s="106"/>
    <row r="153" ht="15.75" customHeight="1" s="106"/>
    <row r="154" ht="15.75" customHeight="1" s="106"/>
    <row r="155" ht="15.75" customHeight="1" s="106"/>
    <row r="156" ht="15.75" customHeight="1" s="106"/>
    <row r="157" ht="15.75" customHeight="1" s="106"/>
    <row r="158" ht="15.75" customHeight="1" s="106"/>
    <row r="159" ht="15.75" customHeight="1" s="106"/>
    <row r="160" ht="15.75" customHeight="1" s="106"/>
    <row r="161" ht="15.75" customHeight="1" s="106"/>
    <row r="162" ht="15.75" customHeight="1" s="106"/>
    <row r="163" ht="15.75" customHeight="1" s="106"/>
    <row r="164" ht="15.75" customHeight="1" s="106"/>
    <row r="165" ht="15.75" customHeight="1" s="106"/>
    <row r="166" ht="15.75" customHeight="1" s="106"/>
    <row r="167" ht="15.75" customHeight="1" s="106"/>
    <row r="168" ht="15.75" customHeight="1" s="106"/>
    <row r="169" ht="15.75" customHeight="1" s="106"/>
    <row r="170" ht="15.75" customHeight="1" s="106"/>
    <row r="171" ht="15.75" customHeight="1" s="106"/>
    <row r="172" ht="15.75" customHeight="1" s="106"/>
    <row r="173" ht="15.75" customHeight="1" s="106"/>
    <row r="174" ht="15.75" customHeight="1" s="106"/>
    <row r="175" ht="15.75" customHeight="1" s="106"/>
    <row r="176" ht="15.75" customHeight="1" s="106"/>
    <row r="177" ht="15.75" customHeight="1" s="106"/>
    <row r="178" ht="15.75" customHeight="1" s="106"/>
    <row r="179" ht="15.75" customHeight="1" s="106"/>
    <row r="180" ht="15.75" customHeight="1" s="106"/>
    <row r="181" ht="15.75" customHeight="1" s="106"/>
    <row r="182" ht="15.75" customHeight="1" s="106"/>
    <row r="183" ht="15.75" customHeight="1" s="106"/>
    <row r="184" ht="15.75" customHeight="1" s="106"/>
    <row r="185" ht="15.75" customHeight="1" s="106"/>
    <row r="186" ht="15.75" customHeight="1" s="106"/>
    <row r="187" ht="15.75" customHeight="1" s="106"/>
    <row r="188" ht="15.75" customHeight="1" s="106"/>
    <row r="189" ht="15.75" customHeight="1" s="106"/>
    <row r="190" ht="15.75" customHeight="1" s="106"/>
    <row r="191" ht="15.75" customHeight="1" s="106"/>
    <row r="192" ht="15.75" customHeight="1" s="106"/>
    <row r="193" ht="15.75" customHeight="1" s="106"/>
    <row r="194" ht="15.75" customHeight="1" s="106"/>
    <row r="195" ht="15.75" customHeight="1" s="106"/>
    <row r="196" ht="15.75" customHeight="1" s="106"/>
    <row r="197" ht="15.75" customHeight="1" s="106"/>
    <row r="198" ht="15.75" customHeight="1" s="106"/>
    <row r="199" ht="15.75" customHeight="1" s="106"/>
    <row r="200" ht="15.75" customHeight="1" s="106"/>
    <row r="201" ht="15.75" customHeight="1" s="106"/>
    <row r="202" ht="15.75" customHeight="1" s="106"/>
    <row r="203" ht="15.75" customHeight="1" s="106"/>
    <row r="204" ht="15.75" customHeight="1" s="106"/>
    <row r="205" ht="15.75" customHeight="1" s="106"/>
    <row r="206" ht="15.75" customHeight="1" s="106"/>
    <row r="207" ht="15.75" customHeight="1" s="106"/>
    <row r="208" ht="15.75" customHeight="1" s="106"/>
    <row r="209" ht="15.75" customHeight="1" s="106"/>
    <row r="210" ht="15.75" customHeight="1" s="106"/>
    <row r="211" ht="15.75" customHeight="1" s="106"/>
    <row r="212" ht="15.75" customHeight="1" s="106"/>
    <row r="213" ht="15.75" customHeight="1" s="106"/>
    <row r="214" ht="15.75" customHeight="1" s="106"/>
    <row r="215" ht="15.75" customHeight="1" s="106"/>
    <row r="216" ht="15.75" customHeight="1" s="106"/>
    <row r="217" ht="15.75" customHeight="1" s="106"/>
    <row r="218" ht="15.75" customHeight="1" s="106"/>
    <row r="219" ht="15.75" customHeight="1" s="106"/>
    <row r="220" ht="15.75" customHeight="1" s="106"/>
    <row r="221" ht="15.75" customHeight="1" s="106"/>
    <row r="222" ht="15.75" customHeight="1" s="106"/>
    <row r="223" ht="15.75" customHeight="1" s="106"/>
    <row r="224" ht="15.75" customHeight="1" s="106"/>
    <row r="225" ht="15.75" customHeight="1" s="106"/>
    <row r="226" ht="15.75" customHeight="1" s="106"/>
    <row r="227" ht="15.75" customHeight="1" s="106"/>
    <row r="228" ht="15.75" customHeight="1" s="106"/>
    <row r="229" ht="15.75" customHeight="1" s="106"/>
    <row r="230" ht="15.75" customHeight="1" s="106"/>
    <row r="231" ht="15.75" customHeight="1" s="106"/>
    <row r="232" ht="15.75" customHeight="1" s="106"/>
    <row r="233" ht="15.75" customHeight="1" s="106"/>
    <row r="234" ht="15.75" customHeight="1" s="106"/>
    <row r="235" ht="15.75" customHeight="1" s="106"/>
    <row r="236" ht="15.75" customHeight="1" s="106"/>
    <row r="237" ht="15.75" customHeight="1" s="106"/>
    <row r="238" ht="15.75" customHeight="1" s="106"/>
    <row r="239" ht="15.75" customHeight="1" s="106"/>
    <row r="240" ht="15.75" customHeight="1" s="106"/>
    <row r="241" ht="15.75" customHeight="1" s="106"/>
    <row r="242" ht="15.75" customHeight="1" s="106"/>
    <row r="243" ht="15.75" customHeight="1" s="106"/>
    <row r="244" ht="15.75" customHeight="1" s="106"/>
    <row r="245" ht="15.75" customHeight="1" s="106"/>
    <row r="246" ht="15.75" customHeight="1" s="106"/>
    <row r="247" ht="15.75" customHeight="1" s="106"/>
    <row r="248" ht="15.75" customHeight="1" s="106"/>
    <row r="249" ht="15.75" customHeight="1" s="106"/>
    <row r="250" ht="15.75" customHeight="1" s="106"/>
    <row r="251" ht="15.75" customHeight="1" s="106"/>
    <row r="252" ht="15.75" customHeight="1" s="106"/>
    <row r="253" ht="15.75" customHeight="1" s="106"/>
    <row r="254" ht="15.75" customHeight="1" s="106"/>
    <row r="255" ht="15.75" customHeight="1" s="106"/>
    <row r="256" ht="15.75" customHeight="1" s="106"/>
    <row r="257" ht="15.75" customHeight="1" s="106"/>
    <row r="258" ht="15.75" customHeight="1" s="106"/>
    <row r="259" ht="15.75" customHeight="1" s="106"/>
    <row r="260" ht="15.75" customHeight="1" s="106"/>
    <row r="261" ht="15.75" customHeight="1" s="106"/>
    <row r="262" ht="15.75" customHeight="1" s="106"/>
    <row r="263" ht="15.75" customHeight="1" s="106"/>
    <row r="264" ht="15.75" customHeight="1" s="106"/>
    <row r="265" ht="15.75" customHeight="1" s="106"/>
    <row r="266" ht="15.75" customHeight="1" s="106"/>
    <row r="267" ht="15.75" customHeight="1" s="106"/>
    <row r="268" ht="15.75" customHeight="1" s="106"/>
    <row r="269" ht="15.75" customHeight="1" s="106"/>
    <row r="270" ht="15.75" customHeight="1" s="106"/>
    <row r="271" ht="15.75" customHeight="1" s="106"/>
    <row r="272" ht="15.75" customHeight="1" s="106"/>
    <row r="273" ht="15.75" customHeight="1" s="106"/>
    <row r="274" ht="15.75" customHeight="1" s="106"/>
    <row r="275" ht="15.75" customHeight="1" s="106"/>
    <row r="276" ht="15.75" customHeight="1" s="106"/>
    <row r="277" ht="15.75" customHeight="1" s="106"/>
    <row r="278" ht="15.75" customHeight="1" s="106"/>
    <row r="279" ht="15.75" customHeight="1" s="106"/>
    <row r="280" ht="15.75" customHeight="1" s="106"/>
    <row r="281" ht="15.75" customHeight="1" s="106"/>
    <row r="282" ht="15.75" customHeight="1" s="106"/>
    <row r="283" ht="15.75" customHeight="1" s="106"/>
    <row r="284" ht="15.75" customHeight="1" s="106"/>
    <row r="285" ht="15.75" customHeight="1" s="106"/>
    <row r="286" ht="15.75" customHeight="1" s="106"/>
    <row r="287" ht="15.75" customHeight="1" s="106"/>
    <row r="288" ht="15.75" customHeight="1" s="106"/>
    <row r="289" ht="15.75" customHeight="1" s="106"/>
    <row r="290" ht="15.75" customHeight="1" s="106"/>
    <row r="291" ht="15.75" customHeight="1" s="106"/>
    <row r="292" ht="15.75" customHeight="1" s="106"/>
    <row r="293" ht="15.75" customHeight="1" s="106"/>
    <row r="294" ht="15.75" customHeight="1" s="106"/>
    <row r="295" ht="15.75" customHeight="1" s="106"/>
    <row r="296" ht="15.75" customHeight="1" s="106"/>
    <row r="297" ht="15.75" customHeight="1" s="106"/>
    <row r="298" ht="15.75" customHeight="1" s="106"/>
    <row r="299" ht="15.75" customHeight="1" s="106"/>
    <row r="300" ht="15.75" customHeight="1" s="106"/>
    <row r="301" ht="15.75" customHeight="1" s="106"/>
    <row r="302" ht="15.75" customHeight="1" s="106"/>
    <row r="303" ht="15.75" customHeight="1" s="106"/>
    <row r="304" ht="15.75" customHeight="1" s="106"/>
    <row r="305" ht="15.75" customHeight="1" s="106"/>
    <row r="306" ht="15.75" customHeight="1" s="106"/>
    <row r="307" ht="15.75" customHeight="1" s="106"/>
    <row r="308" ht="15.75" customHeight="1" s="106"/>
    <row r="309" ht="15.75" customHeight="1" s="106"/>
    <row r="310" ht="15.75" customHeight="1" s="106"/>
    <row r="311" ht="15.75" customHeight="1" s="106"/>
    <row r="312" ht="15.75" customHeight="1" s="106"/>
    <row r="313" ht="15.75" customHeight="1" s="106"/>
    <row r="314" ht="15.75" customHeight="1" s="106"/>
    <row r="315" ht="15.75" customHeight="1" s="106"/>
    <row r="316" ht="15.75" customHeight="1" s="106"/>
    <row r="317" ht="15.75" customHeight="1" s="106"/>
    <row r="318" ht="15.75" customHeight="1" s="106"/>
    <row r="319" ht="15.75" customHeight="1" s="106"/>
    <row r="320" ht="15.75" customHeight="1" s="106"/>
    <row r="321" ht="15.75" customHeight="1" s="106"/>
    <row r="322" ht="15.75" customHeight="1" s="106"/>
    <row r="323" ht="15.75" customHeight="1" s="106"/>
    <row r="324" ht="15.75" customHeight="1" s="106"/>
    <row r="325" ht="15.75" customHeight="1" s="106"/>
    <row r="326" ht="15.75" customHeight="1" s="106"/>
    <row r="327" ht="15.75" customHeight="1" s="106"/>
    <row r="328" ht="15.75" customHeight="1" s="106"/>
    <row r="329" ht="15.75" customHeight="1" s="106"/>
    <row r="330" ht="15.75" customHeight="1" s="106"/>
    <row r="331" ht="15.75" customHeight="1" s="106"/>
    <row r="332" ht="15.75" customHeight="1" s="106"/>
    <row r="333" ht="15.75" customHeight="1" s="106"/>
    <row r="334" ht="15.75" customHeight="1" s="106"/>
    <row r="335" ht="15.75" customHeight="1" s="106"/>
    <row r="336" ht="15.75" customHeight="1" s="106"/>
    <row r="337" ht="15.75" customHeight="1" s="106"/>
    <row r="338" ht="15.75" customHeight="1" s="106"/>
    <row r="339" ht="15.75" customHeight="1" s="106"/>
    <row r="340" ht="15.75" customHeight="1" s="106"/>
    <row r="341" ht="15.75" customHeight="1" s="106"/>
    <row r="342" ht="15.75" customHeight="1" s="106"/>
    <row r="343" ht="15.75" customHeight="1" s="106"/>
    <row r="344" ht="15.75" customHeight="1" s="106"/>
    <row r="345" ht="15.75" customHeight="1" s="106"/>
    <row r="346" ht="15.75" customHeight="1" s="106"/>
    <row r="347" ht="15.75" customHeight="1" s="106"/>
    <row r="348" ht="15.75" customHeight="1" s="106"/>
    <row r="349" ht="15.75" customHeight="1" s="106"/>
    <row r="350" ht="15.75" customHeight="1" s="106"/>
    <row r="351" ht="15.75" customHeight="1" s="106"/>
    <row r="352" ht="15.75" customHeight="1" s="106"/>
    <row r="353" ht="15.75" customHeight="1" s="106"/>
    <row r="354" ht="15.75" customHeight="1" s="106"/>
    <row r="355" ht="15.75" customHeight="1" s="106"/>
    <row r="356" ht="15.75" customHeight="1" s="106"/>
    <row r="357" ht="15.75" customHeight="1" s="106"/>
    <row r="358" ht="15.75" customHeight="1" s="106"/>
    <row r="359" ht="15.75" customHeight="1" s="106"/>
    <row r="360" ht="15.75" customHeight="1" s="106"/>
    <row r="361" ht="15.75" customHeight="1" s="106"/>
    <row r="362" ht="15.75" customHeight="1" s="106"/>
    <row r="363" ht="15.75" customHeight="1" s="106"/>
    <row r="364" ht="15.75" customHeight="1" s="106"/>
    <row r="365" ht="15.75" customHeight="1" s="106"/>
    <row r="366" ht="15.75" customHeight="1" s="106"/>
    <row r="367" ht="15.75" customHeight="1" s="106"/>
    <row r="368" ht="15.75" customHeight="1" s="106"/>
    <row r="369" ht="15.75" customHeight="1" s="106"/>
    <row r="370" ht="15.75" customHeight="1" s="106"/>
    <row r="371" ht="15.75" customHeight="1" s="106"/>
    <row r="372" ht="15.75" customHeight="1" s="106"/>
    <row r="373" ht="15.75" customHeight="1" s="106"/>
    <row r="374" ht="15.75" customHeight="1" s="106"/>
    <row r="375" ht="15.75" customHeight="1" s="106"/>
    <row r="376" ht="15.75" customHeight="1" s="106"/>
    <row r="377" ht="15.75" customHeight="1" s="106"/>
    <row r="378" ht="15.75" customHeight="1" s="106"/>
    <row r="379" ht="15.75" customHeight="1" s="106"/>
    <row r="380" ht="15.75" customHeight="1" s="106"/>
    <row r="381" ht="15.75" customHeight="1" s="106"/>
    <row r="382" ht="15.75" customHeight="1" s="106"/>
    <row r="383" ht="15.75" customHeight="1" s="106"/>
    <row r="384" ht="15.75" customHeight="1" s="106"/>
    <row r="385" ht="15.75" customHeight="1" s="106"/>
    <row r="386" ht="15.75" customHeight="1" s="106"/>
    <row r="387" ht="15.75" customHeight="1" s="106"/>
    <row r="388" ht="15.75" customHeight="1" s="106"/>
    <row r="389" ht="15.75" customHeight="1" s="106"/>
    <row r="390" ht="15.75" customHeight="1" s="106"/>
    <row r="391" ht="15.75" customHeight="1" s="106"/>
    <row r="392" ht="15.75" customHeight="1" s="106"/>
    <row r="393" ht="15.75" customHeight="1" s="106"/>
    <row r="394" ht="15.75" customHeight="1" s="106"/>
    <row r="395" ht="15.75" customHeight="1" s="106"/>
    <row r="396" ht="15.75" customHeight="1" s="106"/>
    <row r="397" ht="15.75" customHeight="1" s="106"/>
    <row r="398" ht="15.75" customHeight="1" s="106"/>
    <row r="399" ht="15.75" customHeight="1" s="106"/>
    <row r="400" ht="15.75" customHeight="1" s="106"/>
    <row r="401" ht="15.75" customHeight="1" s="106"/>
    <row r="402" ht="15.75" customHeight="1" s="106"/>
    <row r="403" ht="15.75" customHeight="1" s="106"/>
    <row r="404" ht="15.75" customHeight="1" s="106"/>
    <row r="405" ht="15.75" customHeight="1" s="106"/>
    <row r="406" ht="15.75" customHeight="1" s="106"/>
    <row r="407" ht="15.75" customHeight="1" s="106"/>
    <row r="408" ht="15.75" customHeight="1" s="106"/>
    <row r="409" ht="15.75" customHeight="1" s="106"/>
    <row r="410" ht="15.75" customHeight="1" s="106"/>
    <row r="411" ht="15.75" customHeight="1" s="106"/>
    <row r="412" ht="15.75" customHeight="1" s="106"/>
    <row r="413" ht="15.75" customHeight="1" s="106"/>
    <row r="414" ht="15.75" customHeight="1" s="106"/>
    <row r="415" ht="15.75" customHeight="1" s="106"/>
    <row r="416" ht="15.75" customHeight="1" s="106"/>
    <row r="417" ht="15.75" customHeight="1" s="106"/>
    <row r="418" ht="15.75" customHeight="1" s="106"/>
    <row r="419" ht="15.75" customHeight="1" s="106"/>
    <row r="420" ht="15.75" customHeight="1" s="106"/>
    <row r="421" ht="15.75" customHeight="1" s="106"/>
    <row r="422" ht="15.75" customHeight="1" s="106"/>
    <row r="423" ht="15.75" customHeight="1" s="106"/>
    <row r="424" ht="15.75" customHeight="1" s="106"/>
    <row r="425" ht="15.75" customHeight="1" s="106"/>
    <row r="426" ht="15.75" customHeight="1" s="106"/>
    <row r="427" ht="15.75" customHeight="1" s="106"/>
    <row r="428" ht="15.75" customHeight="1" s="106"/>
    <row r="429" ht="15.75" customHeight="1" s="106"/>
    <row r="430" ht="15.75" customHeight="1" s="106"/>
    <row r="431" ht="15.75" customHeight="1" s="106"/>
    <row r="432" ht="15.75" customHeight="1" s="106"/>
    <row r="433" ht="15.75" customHeight="1" s="106"/>
    <row r="434" ht="15.75" customHeight="1" s="106"/>
    <row r="435" ht="15.75" customHeight="1" s="106"/>
    <row r="436" ht="15.75" customHeight="1" s="106"/>
    <row r="437" ht="15.75" customHeight="1" s="106"/>
    <row r="438" ht="15.75" customHeight="1" s="106"/>
    <row r="439" ht="15.75" customHeight="1" s="106"/>
    <row r="440" ht="15.75" customHeight="1" s="106"/>
    <row r="441" ht="15.75" customHeight="1" s="106"/>
    <row r="442" ht="15.75" customHeight="1" s="106"/>
    <row r="443" ht="15.75" customHeight="1" s="106"/>
    <row r="444" ht="15.75" customHeight="1" s="106"/>
    <row r="445" ht="15.75" customHeight="1" s="106"/>
    <row r="446" ht="15.75" customHeight="1" s="106"/>
    <row r="447" ht="15.75" customHeight="1" s="106"/>
    <row r="448" ht="15.75" customHeight="1" s="106"/>
    <row r="449" ht="15.75" customHeight="1" s="106"/>
    <row r="450" ht="15.75" customHeight="1" s="106"/>
    <row r="451" ht="15.75" customHeight="1" s="106"/>
    <row r="452" ht="15.75" customHeight="1" s="106"/>
    <row r="453" ht="15.75" customHeight="1" s="106"/>
    <row r="454" ht="15.75" customHeight="1" s="106"/>
    <row r="455" ht="15.75" customHeight="1" s="106"/>
    <row r="456" ht="15.75" customHeight="1" s="106"/>
    <row r="457" ht="15.75" customHeight="1" s="106"/>
    <row r="458" ht="15.75" customHeight="1" s="106"/>
    <row r="459" ht="15.75" customHeight="1" s="106"/>
    <row r="460" ht="15.75" customHeight="1" s="106"/>
    <row r="461" ht="15.75" customHeight="1" s="106"/>
    <row r="462" ht="15.75" customHeight="1" s="106"/>
    <row r="463" ht="15.75" customHeight="1" s="106"/>
    <row r="464" ht="15.75" customHeight="1" s="106"/>
    <row r="465" ht="15.75" customHeight="1" s="106"/>
    <row r="466" ht="15.75" customHeight="1" s="106"/>
    <row r="467" ht="15.75" customHeight="1" s="106"/>
    <row r="468" ht="15.75" customHeight="1" s="106"/>
    <row r="469" ht="15.75" customHeight="1" s="106"/>
    <row r="470" ht="15.75" customHeight="1" s="106"/>
    <row r="471" ht="15.75" customHeight="1" s="106"/>
    <row r="472" ht="15.75" customHeight="1" s="106"/>
    <row r="473" ht="15.75" customHeight="1" s="106"/>
    <row r="474" ht="15.75" customHeight="1" s="106"/>
    <row r="475" ht="15.75" customHeight="1" s="106"/>
    <row r="476" ht="15.75" customHeight="1" s="106"/>
    <row r="477" ht="15.75" customHeight="1" s="106"/>
    <row r="478" ht="15.75" customHeight="1" s="106"/>
    <row r="479" ht="15.75" customHeight="1" s="106"/>
    <row r="480" ht="15.75" customHeight="1" s="106"/>
    <row r="481" ht="15.75" customHeight="1" s="106"/>
    <row r="482" ht="15.75" customHeight="1" s="106"/>
    <row r="483" ht="15.75" customHeight="1" s="106"/>
    <row r="484" ht="15.75" customHeight="1" s="106"/>
    <row r="485" ht="15.75" customHeight="1" s="106"/>
    <row r="486" ht="15.75" customHeight="1" s="106"/>
    <row r="487" ht="15.75" customHeight="1" s="106"/>
    <row r="488" ht="15.75" customHeight="1" s="106"/>
    <row r="489" ht="15.75" customHeight="1" s="106"/>
    <row r="490" ht="15.75" customHeight="1" s="106"/>
    <row r="491" ht="15.75" customHeight="1" s="106"/>
    <row r="492" ht="15.75" customHeight="1" s="106"/>
    <row r="493" ht="15.75" customHeight="1" s="106"/>
    <row r="494" ht="15.75" customHeight="1" s="106"/>
    <row r="495" ht="15.75" customHeight="1" s="106"/>
    <row r="496" ht="15.75" customHeight="1" s="106"/>
    <row r="497" ht="15.75" customHeight="1" s="106"/>
    <row r="498" ht="15.75" customHeight="1" s="106"/>
    <row r="499" ht="15.75" customHeight="1" s="106"/>
    <row r="500" ht="15.75" customHeight="1" s="106"/>
    <row r="501" ht="15.75" customHeight="1" s="106"/>
    <row r="502" ht="15.75" customHeight="1" s="106"/>
    <row r="503" ht="15.75" customHeight="1" s="106"/>
    <row r="504" ht="15.75" customHeight="1" s="106"/>
    <row r="505" ht="15.75" customHeight="1" s="106"/>
    <row r="506" ht="15.75" customHeight="1" s="106"/>
    <row r="507" ht="15.75" customHeight="1" s="106"/>
    <row r="508" ht="15.75" customHeight="1" s="106"/>
    <row r="509" ht="15.75" customHeight="1" s="106"/>
    <row r="510" ht="15.75" customHeight="1" s="106"/>
    <row r="511" ht="15.75" customHeight="1" s="106"/>
    <row r="512" ht="15.75" customHeight="1" s="106"/>
    <row r="513" ht="15.75" customHeight="1" s="106"/>
    <row r="514" ht="15.75" customHeight="1" s="106"/>
    <row r="515" ht="15.75" customHeight="1" s="106"/>
    <row r="516" ht="15.75" customHeight="1" s="106"/>
    <row r="517" ht="15.75" customHeight="1" s="106"/>
    <row r="518" ht="15.75" customHeight="1" s="106"/>
    <row r="519" ht="15.75" customHeight="1" s="106"/>
    <row r="520" ht="15.75" customHeight="1" s="106"/>
    <row r="521" ht="15.75" customHeight="1" s="106"/>
    <row r="522" ht="15.75" customHeight="1" s="106"/>
    <row r="523" ht="15.75" customHeight="1" s="106"/>
    <row r="524" ht="15.75" customHeight="1" s="106"/>
    <row r="525" ht="15.75" customHeight="1" s="106"/>
    <row r="526" ht="15.75" customHeight="1" s="106"/>
    <row r="527" ht="15.75" customHeight="1" s="106"/>
    <row r="528" ht="15.75" customHeight="1" s="106"/>
    <row r="529" ht="15.75" customHeight="1" s="106"/>
    <row r="530" ht="15.75" customHeight="1" s="106"/>
    <row r="531" ht="15.75" customHeight="1" s="106"/>
    <row r="532" ht="15.75" customHeight="1" s="106"/>
    <row r="533" ht="15.75" customHeight="1" s="106"/>
    <row r="534" ht="15.75" customHeight="1" s="106"/>
    <row r="535" ht="15.75" customHeight="1" s="106"/>
    <row r="536" ht="15.75" customHeight="1" s="106"/>
    <row r="537" ht="15.75" customHeight="1" s="106"/>
    <row r="538" ht="15.75" customHeight="1" s="106"/>
    <row r="539" ht="15.75" customHeight="1" s="106"/>
    <row r="540" ht="15.75" customHeight="1" s="106"/>
    <row r="541" ht="15.75" customHeight="1" s="106"/>
    <row r="542" ht="15.75" customHeight="1" s="106"/>
    <row r="543" ht="15.75" customHeight="1" s="106"/>
    <row r="544" ht="15.75" customHeight="1" s="106"/>
    <row r="545" ht="15.75" customHeight="1" s="106"/>
    <row r="546" ht="15.75" customHeight="1" s="106"/>
    <row r="547" ht="15.75" customHeight="1" s="106"/>
    <row r="548" ht="15.75" customHeight="1" s="106"/>
    <row r="549" ht="15.75" customHeight="1" s="106"/>
    <row r="550" ht="15.75" customHeight="1" s="106"/>
    <row r="551" ht="15.75" customHeight="1" s="106"/>
    <row r="552" ht="15.75" customHeight="1" s="106"/>
    <row r="553" ht="15.75" customHeight="1" s="106"/>
    <row r="554" ht="15.75" customHeight="1" s="106"/>
    <row r="555" ht="15.75" customHeight="1" s="106"/>
    <row r="556" ht="15.75" customHeight="1" s="106"/>
    <row r="557" ht="15.75" customHeight="1" s="106"/>
    <row r="558" ht="15.75" customHeight="1" s="106"/>
    <row r="559" ht="15.75" customHeight="1" s="106"/>
    <row r="560" ht="15.75" customHeight="1" s="106"/>
    <row r="561" ht="15.75" customHeight="1" s="106"/>
    <row r="562" ht="15.75" customHeight="1" s="106"/>
    <row r="563" ht="15.75" customHeight="1" s="106"/>
    <row r="564" ht="15.75" customHeight="1" s="106"/>
    <row r="565" ht="15.75" customHeight="1" s="106"/>
    <row r="566" ht="15.75" customHeight="1" s="106"/>
    <row r="567" ht="15.75" customHeight="1" s="106"/>
    <row r="568" ht="15.75" customHeight="1" s="106"/>
    <row r="569" ht="15.75" customHeight="1" s="106"/>
    <row r="570" ht="15.75" customHeight="1" s="106"/>
    <row r="571" ht="15.75" customHeight="1" s="106"/>
    <row r="572" ht="15.75" customHeight="1" s="106"/>
    <row r="573" ht="15.75" customHeight="1" s="106"/>
    <row r="574" ht="15.75" customHeight="1" s="106"/>
    <row r="575" ht="15.75" customHeight="1" s="106"/>
    <row r="576" ht="15.75" customHeight="1" s="106"/>
    <row r="577" ht="15.75" customHeight="1" s="106"/>
    <row r="578" ht="15.75" customHeight="1" s="106"/>
    <row r="579" ht="15.75" customHeight="1" s="106"/>
    <row r="580" ht="15.75" customHeight="1" s="106"/>
    <row r="581" ht="15.75" customHeight="1" s="106"/>
    <row r="582" ht="15.75" customHeight="1" s="106"/>
    <row r="583" ht="15.75" customHeight="1" s="106"/>
    <row r="584" ht="15.75" customHeight="1" s="106"/>
    <row r="585" ht="15.75" customHeight="1" s="106"/>
    <row r="586" ht="15.75" customHeight="1" s="106"/>
    <row r="587" ht="15.75" customHeight="1" s="106"/>
    <row r="588" ht="15.75" customHeight="1" s="106"/>
    <row r="589" ht="15.75" customHeight="1" s="106"/>
    <row r="590" ht="15.75" customHeight="1" s="106"/>
    <row r="591" ht="15.75" customHeight="1" s="106"/>
    <row r="592" ht="15.75" customHeight="1" s="106"/>
    <row r="593" ht="15.75" customHeight="1" s="106"/>
    <row r="594" ht="15.75" customHeight="1" s="106"/>
    <row r="595" ht="15.75" customHeight="1" s="106"/>
    <row r="596" ht="15.75" customHeight="1" s="106"/>
    <row r="597" ht="15.75" customHeight="1" s="106"/>
    <row r="598" ht="15.75" customHeight="1" s="106"/>
    <row r="599" ht="15.75" customHeight="1" s="106"/>
    <row r="600" ht="15.75" customHeight="1" s="106"/>
    <row r="601" ht="15.75" customHeight="1" s="106"/>
    <row r="602" ht="15.75" customHeight="1" s="106"/>
    <row r="603" ht="15.75" customHeight="1" s="106"/>
    <row r="604" ht="15.75" customHeight="1" s="106"/>
    <row r="605" ht="15.75" customHeight="1" s="106"/>
    <row r="606" ht="15.75" customHeight="1" s="106"/>
    <row r="607" ht="15.75" customHeight="1" s="106"/>
    <row r="608" ht="15.75" customHeight="1" s="106"/>
    <row r="609" ht="15.75" customHeight="1" s="106"/>
    <row r="610" ht="15.75" customHeight="1" s="106"/>
    <row r="611" ht="15.75" customHeight="1" s="106"/>
    <row r="612" ht="15.75" customHeight="1" s="106"/>
    <row r="613" ht="15.75" customHeight="1" s="106"/>
    <row r="614" ht="15.75" customHeight="1" s="106"/>
    <row r="615" ht="15.75" customHeight="1" s="106"/>
    <row r="616" ht="15.75" customHeight="1" s="106"/>
    <row r="617" ht="15.75" customHeight="1" s="106"/>
    <row r="618" ht="15.75" customHeight="1" s="106"/>
    <row r="619" ht="15.75" customHeight="1" s="106"/>
    <row r="620" ht="15.75" customHeight="1" s="106"/>
    <row r="621" ht="15.75" customHeight="1" s="106"/>
    <row r="622" ht="15.75" customHeight="1" s="106"/>
    <row r="623" ht="15.75" customHeight="1" s="106"/>
    <row r="624" ht="15.75" customHeight="1" s="106"/>
    <row r="625" ht="15.75" customHeight="1" s="106"/>
    <row r="626" ht="15.75" customHeight="1" s="106"/>
    <row r="627" ht="15.75" customHeight="1" s="106"/>
    <row r="628" ht="15.75" customHeight="1" s="106"/>
    <row r="629" ht="15.75" customHeight="1" s="106"/>
    <row r="630" ht="15.75" customHeight="1" s="106"/>
    <row r="631" ht="15.75" customHeight="1" s="106"/>
    <row r="632" ht="15.75" customHeight="1" s="106"/>
    <row r="633" ht="15.75" customHeight="1" s="106"/>
    <row r="634" ht="15.75" customHeight="1" s="106"/>
    <row r="635" ht="15.75" customHeight="1" s="106"/>
    <row r="636" ht="15.75" customHeight="1" s="106"/>
    <row r="637" ht="15.75" customHeight="1" s="106"/>
    <row r="638" ht="15.75" customHeight="1" s="106"/>
    <row r="639" ht="15.75" customHeight="1" s="106"/>
    <row r="640" ht="15.75" customHeight="1" s="106"/>
    <row r="641" ht="15.75" customHeight="1" s="106"/>
    <row r="642" ht="15.75" customHeight="1" s="106"/>
    <row r="643" ht="15.75" customHeight="1" s="106"/>
    <row r="644" ht="15.75" customHeight="1" s="106"/>
    <row r="645" ht="15.75" customHeight="1" s="106"/>
    <row r="646" ht="15.75" customHeight="1" s="106"/>
    <row r="647" ht="15.75" customHeight="1" s="106"/>
    <row r="648" ht="15.75" customHeight="1" s="106"/>
    <row r="649" ht="15.75" customHeight="1" s="106"/>
    <row r="650" ht="15.75" customHeight="1" s="106"/>
    <row r="651" ht="15.75" customHeight="1" s="106"/>
    <row r="652" ht="15.75" customHeight="1" s="106"/>
    <row r="653" ht="15.75" customHeight="1" s="106"/>
    <row r="654" ht="15.75" customHeight="1" s="106"/>
    <row r="655" ht="15.75" customHeight="1" s="106"/>
    <row r="656" ht="15.75" customHeight="1" s="106"/>
    <row r="657" ht="15.75" customHeight="1" s="106"/>
    <row r="658" ht="15.75" customHeight="1" s="106"/>
    <row r="659" ht="15.75" customHeight="1" s="106"/>
    <row r="660" ht="15.75" customHeight="1" s="106"/>
    <row r="661" ht="15.75" customHeight="1" s="106"/>
    <row r="662" ht="15.75" customHeight="1" s="106"/>
    <row r="663" ht="15.75" customHeight="1" s="106"/>
    <row r="664" ht="15.75" customHeight="1" s="106"/>
    <row r="665" ht="15.75" customHeight="1" s="106"/>
    <row r="666" ht="15.75" customHeight="1" s="106"/>
    <row r="667" ht="15.75" customHeight="1" s="106"/>
    <row r="668" ht="15.75" customHeight="1" s="106"/>
    <row r="669" ht="15.75" customHeight="1" s="106"/>
    <row r="670" ht="15.75" customHeight="1" s="106"/>
    <row r="671" ht="15.75" customHeight="1" s="106"/>
    <row r="672" ht="15.75" customHeight="1" s="106"/>
    <row r="673" ht="15.75" customHeight="1" s="106"/>
    <row r="674" ht="15.75" customHeight="1" s="106"/>
    <row r="675" ht="15.75" customHeight="1" s="106"/>
    <row r="676" ht="15.75" customHeight="1" s="106"/>
    <row r="677" ht="15.75" customHeight="1" s="106"/>
    <row r="678" ht="15.75" customHeight="1" s="106"/>
    <row r="679" ht="15.75" customHeight="1" s="106"/>
    <row r="680" ht="15.75" customHeight="1" s="106"/>
    <row r="681" ht="15.75" customHeight="1" s="106"/>
    <row r="682" ht="15.75" customHeight="1" s="106"/>
    <row r="683" ht="15.75" customHeight="1" s="106"/>
    <row r="684" ht="15.75" customHeight="1" s="106"/>
    <row r="685" ht="15.75" customHeight="1" s="106"/>
    <row r="686" ht="15.75" customHeight="1" s="106"/>
    <row r="687" ht="15.75" customHeight="1" s="106"/>
    <row r="688" ht="15.75" customHeight="1" s="106"/>
    <row r="689" ht="15.75" customHeight="1" s="106"/>
    <row r="690" ht="15.75" customHeight="1" s="106"/>
    <row r="691" ht="15.75" customHeight="1" s="106"/>
    <row r="692" ht="15.75" customHeight="1" s="106"/>
    <row r="693" ht="15.75" customHeight="1" s="106"/>
    <row r="694" ht="15.75" customHeight="1" s="106"/>
    <row r="695" ht="15.75" customHeight="1" s="106"/>
    <row r="696" ht="15.75" customHeight="1" s="106"/>
    <row r="697" ht="15.75" customHeight="1" s="106"/>
    <row r="698" ht="15.75" customHeight="1" s="106"/>
    <row r="699" ht="15.75" customHeight="1" s="106"/>
    <row r="700" ht="15.75" customHeight="1" s="106"/>
    <row r="701" ht="15.75" customHeight="1" s="106"/>
    <row r="702" ht="15.75" customHeight="1" s="106"/>
    <row r="703" ht="15.75" customHeight="1" s="106"/>
    <row r="704" ht="15.75" customHeight="1" s="106"/>
    <row r="705" ht="15.75" customHeight="1" s="106"/>
    <row r="706" ht="15.75" customHeight="1" s="106"/>
    <row r="707" ht="15.75" customHeight="1" s="106"/>
    <row r="708" ht="15.75" customHeight="1" s="106"/>
    <row r="709" ht="15.75" customHeight="1" s="106"/>
    <row r="710" ht="15.75" customHeight="1" s="106"/>
    <row r="711" ht="15.75" customHeight="1" s="106"/>
    <row r="712" ht="15.75" customHeight="1" s="106"/>
    <row r="713" ht="15.75" customHeight="1" s="106"/>
    <row r="714" ht="15.75" customHeight="1" s="106"/>
    <row r="715" ht="15.75" customHeight="1" s="106"/>
    <row r="716" ht="15.75" customHeight="1" s="106"/>
    <row r="717" ht="15.75" customHeight="1" s="106"/>
    <row r="718" ht="15.75" customHeight="1" s="106"/>
    <row r="719" ht="15.75" customHeight="1" s="106"/>
    <row r="720" ht="15.75" customHeight="1" s="106"/>
    <row r="721" ht="15.75" customHeight="1" s="106"/>
    <row r="722" ht="15.75" customHeight="1" s="106"/>
    <row r="723" ht="15.75" customHeight="1" s="106"/>
    <row r="724" ht="15.75" customHeight="1" s="106"/>
    <row r="725" ht="15.75" customHeight="1" s="106"/>
    <row r="726" ht="15.75" customHeight="1" s="106"/>
    <row r="727" ht="15.75" customHeight="1" s="106"/>
    <row r="728" ht="15.75" customHeight="1" s="106"/>
    <row r="729" ht="15.75" customHeight="1" s="106"/>
    <row r="730" ht="15.75" customHeight="1" s="106"/>
    <row r="731" ht="15.75" customHeight="1" s="106"/>
    <row r="732" ht="15.75" customHeight="1" s="106"/>
    <row r="733" ht="15.75" customHeight="1" s="106"/>
    <row r="734" ht="15.75" customHeight="1" s="106"/>
    <row r="735" ht="15.75" customHeight="1" s="106"/>
    <row r="736" ht="15.75" customHeight="1" s="106"/>
    <row r="737" ht="15.75" customHeight="1" s="106"/>
    <row r="738" ht="15.75" customHeight="1" s="106"/>
    <row r="739" ht="15.75" customHeight="1" s="106"/>
    <row r="740" ht="15.75" customHeight="1" s="106"/>
    <row r="741" ht="15.75" customHeight="1" s="106"/>
    <row r="742" ht="15.75" customHeight="1" s="106"/>
    <row r="743" ht="15.75" customHeight="1" s="106"/>
    <row r="744" ht="15.75" customHeight="1" s="106"/>
    <row r="745" ht="15.75" customHeight="1" s="106"/>
    <row r="746" ht="15.75" customHeight="1" s="106"/>
    <row r="747" ht="15.75" customHeight="1" s="106"/>
    <row r="748" ht="15.75" customHeight="1" s="106"/>
    <row r="749" ht="15.75" customHeight="1" s="106"/>
    <row r="750" ht="15.75" customHeight="1" s="106"/>
    <row r="751" ht="15.75" customHeight="1" s="106"/>
    <row r="752" ht="15.75" customHeight="1" s="106"/>
    <row r="753" ht="15.75" customHeight="1" s="106"/>
    <row r="754" ht="15.75" customHeight="1" s="106"/>
    <row r="755" ht="15.75" customHeight="1" s="106"/>
    <row r="756" ht="15.75" customHeight="1" s="106"/>
    <row r="757" ht="15.75" customHeight="1" s="106"/>
    <row r="758" ht="15.75" customHeight="1" s="106"/>
    <row r="759" ht="15.75" customHeight="1" s="106"/>
    <row r="760" ht="15.75" customHeight="1" s="106"/>
    <row r="761" ht="15.75" customHeight="1" s="106"/>
    <row r="762" ht="15.75" customHeight="1" s="106"/>
    <row r="763" ht="15.75" customHeight="1" s="106"/>
    <row r="764" ht="15.75" customHeight="1" s="106"/>
    <row r="765" ht="15.75" customHeight="1" s="106"/>
    <row r="766" ht="15.75" customHeight="1" s="106"/>
    <row r="767" ht="15.75" customHeight="1" s="106"/>
    <row r="768" ht="15.75" customHeight="1" s="106"/>
    <row r="769" ht="15.75" customHeight="1" s="106"/>
    <row r="770" ht="15.75" customHeight="1" s="106"/>
    <row r="771" ht="15.75" customHeight="1" s="106"/>
    <row r="772" ht="15.75" customHeight="1" s="106"/>
    <row r="773" ht="15.75" customHeight="1" s="106"/>
    <row r="774" ht="15.75" customHeight="1" s="106"/>
    <row r="775" ht="15.75" customHeight="1" s="106"/>
    <row r="776" ht="15.75" customHeight="1" s="106"/>
    <row r="777" ht="15.75" customHeight="1" s="106"/>
    <row r="778" ht="15.75" customHeight="1" s="106"/>
    <row r="779" ht="15.75" customHeight="1" s="106"/>
    <row r="780" ht="15.75" customHeight="1" s="106"/>
    <row r="781" ht="15.75" customHeight="1" s="106"/>
    <row r="782" ht="15.75" customHeight="1" s="106"/>
    <row r="783" ht="15.75" customHeight="1" s="106"/>
    <row r="784" ht="15.75" customHeight="1" s="106"/>
    <row r="785" ht="15.75" customHeight="1" s="106"/>
    <row r="786" ht="15.75" customHeight="1" s="106"/>
    <row r="787" ht="15.75" customHeight="1" s="106"/>
    <row r="788" ht="15.75" customHeight="1" s="106"/>
    <row r="789" ht="15.75" customHeight="1" s="106"/>
    <row r="790" ht="15.75" customHeight="1" s="106"/>
    <row r="791" ht="15.75" customHeight="1" s="106"/>
    <row r="792" ht="15.75" customHeight="1" s="106"/>
    <row r="793" ht="15.75" customHeight="1" s="106"/>
    <row r="794" ht="15.75" customHeight="1" s="106"/>
    <row r="795" ht="15.75" customHeight="1" s="106"/>
    <row r="796" ht="15.75" customHeight="1" s="106"/>
    <row r="797" ht="15.75" customHeight="1" s="106"/>
    <row r="798" ht="15.75" customHeight="1" s="106"/>
    <row r="799" ht="15.75" customHeight="1" s="106"/>
    <row r="800" ht="15.75" customHeight="1" s="106"/>
    <row r="801" ht="15.75" customHeight="1" s="106"/>
    <row r="802" ht="15.75" customHeight="1" s="106"/>
    <row r="803" ht="15.75" customHeight="1" s="106"/>
    <row r="804" ht="15.75" customHeight="1" s="106"/>
    <row r="805" ht="15.75" customHeight="1" s="106"/>
    <row r="806" ht="15.75" customHeight="1" s="106"/>
    <row r="807" ht="15.75" customHeight="1" s="106"/>
    <row r="808" ht="15.75" customHeight="1" s="106"/>
    <row r="809" ht="15.75" customHeight="1" s="106"/>
    <row r="810" ht="15.75" customHeight="1" s="106"/>
    <row r="811" ht="15.75" customHeight="1" s="106"/>
    <row r="812" ht="15.75" customHeight="1" s="106"/>
    <row r="813" ht="15.75" customHeight="1" s="106"/>
    <row r="814" ht="15.75" customHeight="1" s="106"/>
    <row r="815" ht="15.75" customHeight="1" s="106"/>
    <row r="816" ht="15.75" customHeight="1" s="106"/>
    <row r="817" ht="15.75" customHeight="1" s="106"/>
    <row r="818" ht="15.75" customHeight="1" s="106"/>
    <row r="819" ht="15.75" customHeight="1" s="106"/>
    <row r="820" ht="15.75" customHeight="1" s="106"/>
    <row r="821" ht="15.75" customHeight="1" s="106"/>
    <row r="822" ht="15.75" customHeight="1" s="106"/>
    <row r="823" ht="15.75" customHeight="1" s="106"/>
    <row r="824" ht="15.75" customHeight="1" s="106"/>
    <row r="825" ht="15.75" customHeight="1" s="106"/>
    <row r="826" ht="15.75" customHeight="1" s="106"/>
    <row r="827" ht="15.75" customHeight="1" s="106"/>
    <row r="828" ht="15.75" customHeight="1" s="106"/>
    <row r="829" ht="15.75" customHeight="1" s="106"/>
    <row r="830" ht="15.75" customHeight="1" s="106"/>
    <row r="831" ht="15.75" customHeight="1" s="106"/>
    <row r="832" ht="15.75" customHeight="1" s="106"/>
    <row r="833" ht="15.75" customHeight="1" s="106"/>
    <row r="834" ht="15.75" customHeight="1" s="106"/>
    <row r="835" ht="15.75" customHeight="1" s="106"/>
    <row r="836" ht="15.75" customHeight="1" s="106"/>
    <row r="837" ht="15.75" customHeight="1" s="106"/>
    <row r="838" ht="15.75" customHeight="1" s="106"/>
    <row r="839" ht="15.75" customHeight="1" s="106"/>
    <row r="840" ht="15.75" customHeight="1" s="106"/>
    <row r="841" ht="15.75" customHeight="1" s="106"/>
    <row r="842" ht="15.75" customHeight="1" s="106"/>
    <row r="843" ht="15.75" customHeight="1" s="106"/>
    <row r="844" ht="15.75" customHeight="1" s="106"/>
    <row r="845" ht="15.75" customHeight="1" s="106"/>
    <row r="846" ht="15.75" customHeight="1" s="106"/>
    <row r="847" ht="15.75" customHeight="1" s="106"/>
    <row r="848" ht="15.75" customHeight="1" s="106"/>
    <row r="849" ht="15.75" customHeight="1" s="106"/>
    <row r="850" ht="15.75" customHeight="1" s="106"/>
    <row r="851" ht="15.75" customHeight="1" s="106"/>
    <row r="852" ht="15.75" customHeight="1" s="106"/>
    <row r="853" ht="15.75" customHeight="1" s="106"/>
    <row r="854" ht="15.75" customHeight="1" s="106"/>
    <row r="855" ht="15.75" customHeight="1" s="106"/>
    <row r="856" ht="15.75" customHeight="1" s="106"/>
    <row r="857" ht="15.75" customHeight="1" s="106"/>
    <row r="858" ht="15.75" customHeight="1" s="106"/>
    <row r="859" ht="15.75" customHeight="1" s="106"/>
    <row r="860" ht="15.75" customHeight="1" s="106"/>
    <row r="861" ht="15.75" customHeight="1" s="106"/>
    <row r="862" ht="15.75" customHeight="1" s="106"/>
    <row r="863" ht="15.75" customHeight="1" s="106"/>
    <row r="864" ht="15.75" customHeight="1" s="106"/>
    <row r="865" ht="15.75" customHeight="1" s="106"/>
    <row r="866" ht="15.75" customHeight="1" s="106"/>
    <row r="867" ht="15.75" customHeight="1" s="106"/>
    <row r="868" ht="15.75" customHeight="1" s="106"/>
    <row r="869" ht="15.75" customHeight="1" s="106"/>
    <row r="870" ht="15.75" customHeight="1" s="106"/>
    <row r="871" ht="15.75" customHeight="1" s="106"/>
    <row r="872" ht="15.75" customHeight="1" s="106"/>
    <row r="873" ht="15.75" customHeight="1" s="106"/>
    <row r="874" ht="15.75" customHeight="1" s="106"/>
    <row r="875" ht="15.75" customHeight="1" s="106"/>
    <row r="876" ht="15.75" customHeight="1" s="106"/>
    <row r="877" ht="15.75" customHeight="1" s="106"/>
    <row r="878" ht="15.75" customHeight="1" s="106"/>
    <row r="879" ht="15.75" customHeight="1" s="106"/>
    <row r="880" ht="15.75" customHeight="1" s="106"/>
    <row r="881" ht="15.75" customHeight="1" s="106"/>
    <row r="882" ht="15.75" customHeight="1" s="106"/>
    <row r="883" ht="15.75" customHeight="1" s="106"/>
    <row r="884" ht="15.75" customHeight="1" s="106"/>
    <row r="885" ht="15.75" customHeight="1" s="106"/>
    <row r="886" ht="15.75" customHeight="1" s="106"/>
    <row r="887" ht="15.75" customHeight="1" s="106"/>
    <row r="888" ht="15.75" customHeight="1" s="106"/>
    <row r="889" ht="15.75" customHeight="1" s="106"/>
    <row r="890" ht="15.75" customHeight="1" s="106"/>
    <row r="891" ht="15.75" customHeight="1" s="106"/>
    <row r="892" ht="15.75" customHeight="1" s="106"/>
    <row r="893" ht="15.75" customHeight="1" s="106"/>
    <row r="894" ht="15.75" customHeight="1" s="106"/>
    <row r="895" ht="15.75" customHeight="1" s="106"/>
    <row r="896" ht="15.75" customHeight="1" s="106"/>
    <row r="897" ht="15.75" customHeight="1" s="106"/>
    <row r="898" ht="15.75" customHeight="1" s="106"/>
    <row r="899" ht="15.75" customHeight="1" s="106"/>
    <row r="900" ht="15.75" customHeight="1" s="106"/>
    <row r="901" ht="15.75" customHeight="1" s="106"/>
    <row r="902" ht="15.75" customHeight="1" s="106"/>
    <row r="903" ht="15.75" customHeight="1" s="106"/>
    <row r="904" ht="15.75" customHeight="1" s="106"/>
    <row r="905" ht="15.75" customHeight="1" s="106"/>
    <row r="906" ht="15.75" customHeight="1" s="106"/>
    <row r="907" ht="15.75" customHeight="1" s="106"/>
    <row r="908" ht="15.75" customHeight="1" s="106"/>
    <row r="909" ht="15.75" customHeight="1" s="106"/>
    <row r="910" ht="15.75" customHeight="1" s="106"/>
    <row r="911" ht="15.75" customHeight="1" s="106"/>
    <row r="912" ht="15.75" customHeight="1" s="106"/>
    <row r="913" ht="15.75" customHeight="1" s="106"/>
    <row r="914" ht="15.75" customHeight="1" s="106"/>
    <row r="915" ht="15.75" customHeight="1" s="106"/>
    <row r="916" ht="15.75" customHeight="1" s="106"/>
    <row r="917" ht="15.75" customHeight="1" s="106"/>
    <row r="918" ht="15.75" customHeight="1" s="106"/>
    <row r="919" ht="15.75" customHeight="1" s="106"/>
    <row r="920" ht="15.75" customHeight="1" s="106"/>
    <row r="921" ht="15.75" customHeight="1" s="106"/>
    <row r="922" ht="15.75" customHeight="1" s="106"/>
    <row r="923" ht="15.75" customHeight="1" s="106"/>
    <row r="924" ht="15.75" customHeight="1" s="106"/>
    <row r="925" ht="15.75" customHeight="1" s="106"/>
    <row r="926" ht="15.75" customHeight="1" s="106"/>
    <row r="927" ht="15.75" customHeight="1" s="106"/>
    <row r="928" ht="15.75" customHeight="1" s="106"/>
    <row r="929" ht="15.75" customHeight="1" s="106"/>
    <row r="930" ht="15.75" customHeight="1" s="106"/>
    <row r="931" ht="15.75" customHeight="1" s="106"/>
    <row r="932" ht="15.75" customHeight="1" s="106"/>
    <row r="933" ht="15.75" customHeight="1" s="106"/>
    <row r="934" ht="15.75" customHeight="1" s="106"/>
    <row r="935" ht="15.75" customHeight="1" s="106"/>
    <row r="936" ht="15.75" customHeight="1" s="106"/>
    <row r="937" ht="15.75" customHeight="1" s="106"/>
    <row r="938" ht="15.75" customHeight="1" s="106"/>
    <row r="939" ht="15.75" customHeight="1" s="106"/>
    <row r="940" ht="15.75" customHeight="1" s="106"/>
    <row r="941" ht="15.75" customHeight="1" s="106"/>
    <row r="942" ht="15.75" customHeight="1" s="106"/>
    <row r="943" ht="15.75" customHeight="1" s="106"/>
    <row r="944" ht="15.75" customHeight="1" s="106"/>
    <row r="945" ht="15.75" customHeight="1" s="106"/>
    <row r="946" ht="15.75" customHeight="1" s="106"/>
    <row r="947" ht="15.75" customHeight="1" s="106"/>
    <row r="948" ht="15.75" customHeight="1" s="106"/>
    <row r="949" ht="15.75" customHeight="1" s="106"/>
    <row r="950" ht="15.75" customHeight="1" s="106"/>
    <row r="951" ht="15.75" customHeight="1" s="106"/>
    <row r="952" ht="15.75" customHeight="1" s="106"/>
    <row r="953" ht="15.75" customHeight="1" s="106"/>
    <row r="954" ht="15.75" customHeight="1" s="106"/>
    <row r="955" ht="15.75" customHeight="1" s="106"/>
    <row r="956" ht="15.75" customHeight="1" s="106"/>
    <row r="957" ht="15.75" customHeight="1" s="106"/>
    <row r="958" ht="15.75" customHeight="1" s="106"/>
    <row r="959" ht="15.75" customHeight="1" s="106"/>
    <row r="960" ht="15.75" customHeight="1" s="106"/>
    <row r="961" ht="15.75" customHeight="1" s="106"/>
    <row r="962" ht="15.75" customHeight="1" s="106"/>
    <row r="963" ht="15.75" customHeight="1" s="106"/>
    <row r="964" ht="15.75" customHeight="1" s="106"/>
    <row r="965" ht="15.75" customHeight="1" s="106"/>
    <row r="966" ht="15.75" customHeight="1" s="106"/>
    <row r="967" ht="15.75" customHeight="1" s="106"/>
    <row r="968" ht="15.75" customHeight="1" s="106"/>
    <row r="969" ht="15.75" customHeight="1" s="106"/>
    <row r="970" ht="15.75" customHeight="1" s="106"/>
    <row r="971" ht="15.75" customHeight="1" s="106"/>
    <row r="972" ht="15.75" customHeight="1" s="106"/>
    <row r="973" ht="15.75" customHeight="1" s="106"/>
    <row r="974" ht="15.75" customHeight="1" s="106"/>
    <row r="975" ht="15.75" customHeight="1" s="106"/>
    <row r="976" ht="15.75" customHeight="1" s="106"/>
    <row r="977" ht="15.75" customHeight="1" s="106"/>
    <row r="978" ht="15.75" customHeight="1" s="106"/>
    <row r="979" ht="15.75" customHeight="1" s="106"/>
    <row r="980" ht="15.75" customHeight="1" s="106"/>
    <row r="981" ht="15.75" customHeight="1" s="106"/>
    <row r="982" ht="15.75" customHeight="1" s="106"/>
    <row r="983" ht="15.75" customHeight="1" s="106"/>
    <row r="984" ht="15.75" customHeight="1" s="106"/>
    <row r="985" ht="15.75" customHeight="1" s="106"/>
    <row r="986" ht="15.75" customHeight="1" s="106"/>
    <row r="987" ht="15.75" customHeight="1" s="106"/>
    <row r="988" ht="15.75" customHeight="1" s="106"/>
    <row r="989" ht="15.75" customHeight="1" s="106"/>
    <row r="990" ht="15.75" customHeight="1" s="106"/>
    <row r="991" ht="15.75" customHeight="1" s="106"/>
    <row r="992" ht="15.75" customHeight="1" s="106"/>
    <row r="993" ht="15.75" customHeight="1" s="106"/>
    <row r="994" ht="15.75" customHeight="1" s="106"/>
    <row r="995" ht="15.75" customHeight="1" s="106"/>
    <row r="996" ht="15.75" customHeight="1" s="106"/>
    <row r="997" ht="15.75" customHeight="1" s="106"/>
    <row r="998" ht="15.75" customHeight="1" s="106"/>
    <row r="999" ht="15.75" customHeight="1" s="106"/>
    <row r="1000" ht="15.75" customHeight="1" s="106"/>
  </sheetData>
  <autoFilter ref="$B$5:$J$36"/>
  <mergeCells count="8">
    <mergeCell ref="B102:J103"/>
    <mergeCell ref="B39:I39"/>
    <mergeCell ref="B69:I69"/>
    <mergeCell ref="B2:I2"/>
    <mergeCell ref="B54:I54"/>
    <mergeCell ref="B3:I3"/>
    <mergeCell ref="B84:I84"/>
    <mergeCell ref="B4:I4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tabColor rgb="FFE8B800"/>
    <outlinePr summaryBelow="1" summaryRight="1"/>
    <pageSetUpPr fitToPage="1"/>
  </sheetPr>
  <dimension ref="B1:G71"/>
  <sheetViews>
    <sheetView showGridLines="0" workbookViewId="0">
      <selection activeCell="A1" sqref="A1"/>
    </sheetView>
  </sheetViews>
  <sheetFormatPr baseColWidth="8" defaultColWidth="14.43" defaultRowHeight="15" customHeight="1" outlineLevelCol="0"/>
  <cols>
    <col width="3" customWidth="1" style="106" min="1" max="1"/>
    <col width="14" customWidth="1" style="106" min="2" max="2"/>
    <col width="28" customWidth="1" style="106" min="3" max="3"/>
    <col width="14" customWidth="1" style="106" min="4" max="4"/>
    <col width="12" customWidth="1" style="106" min="5" max="5"/>
    <col width="18" customWidth="1" style="106" min="6" max="6"/>
    <col width="12" customWidth="1" style="106" min="7" max="7"/>
    <col width="8.710000000000001" customWidth="1" style="106" min="8" max="26"/>
  </cols>
  <sheetData>
    <row r="1">
      <c r="B1" s="2" t="inlineStr">
        <is>
          <t>ЛЕНДИНГ-КП ДЛЯ PDF (стиль Cenzyk). Цена — со Сводки. Жёлтые доли раскладывают Итого. Экспорт: Файл → PDF.</t>
        </is>
      </c>
      <c r="F1" s="4" t="inlineStr">
        <is>
          <t>Цена КП:</t>
        </is>
      </c>
      <c r="G1" s="8">
        <f>'Сводка'!D24</f>
        <v/>
      </c>
    </row>
    <row r="3">
      <c r="B3" s="17">
        <f>UPPER('Параметры'!C23)&amp;"  ·  КП"</f>
        <v/>
      </c>
      <c r="D3" s="17" t="inlineStr">
        <is>
          <t>№</t>
        </is>
      </c>
      <c r="E3" s="115">
        <f>IF('Сводка'!C11="","—",'Сводка'!C11)</f>
        <v/>
      </c>
      <c r="F3" s="116" t="n"/>
    </row>
    <row r="4" ht="36" customHeight="1" s="106">
      <c r="B4" s="117">
        <f>'Параметры'!C19</f>
        <v/>
      </c>
    </row>
    <row r="5" ht="21.75" customHeight="1" s="106"/>
    <row r="6">
      <c r="B6" s="118">
        <f>'Параметры'!C20</f>
        <v/>
      </c>
    </row>
    <row r="7" ht="21.75" customHeight="1" s="106">
      <c r="B7" s="119" t="inlineStr">
        <is>
          <t>ИЗДЕЛИЯ ИЗ МЕТАЛЛА  ·  КАЛИНИНГРАД И ОБЛАСТЬ</t>
        </is>
      </c>
    </row>
    <row r="8">
      <c r="B8" s="37" t="n"/>
      <c r="C8" s="37" t="n"/>
      <c r="D8" s="37" t="n"/>
      <c r="E8" s="37" t="n"/>
      <c r="F8" s="37" t="n"/>
    </row>
    <row r="9">
      <c r="B9" s="17" t="inlineStr">
        <is>
          <t>КЛИЕНТ</t>
        </is>
      </c>
      <c r="C9" s="41">
        <f>'Сводка'!C10</f>
        <v/>
      </c>
      <c r="D9" s="116" t="n"/>
      <c r="E9" s="17" t="inlineStr">
        <is>
          <t>ОБЪЕКТ</t>
        </is>
      </c>
      <c r="F9" s="41">
        <f>'Сводка'!C6</f>
        <v/>
      </c>
    </row>
    <row r="10">
      <c r="B10" s="17" t="inlineStr">
        <is>
          <t>ДАТА</t>
        </is>
      </c>
      <c r="C10" s="120">
        <f>'Сводка'!C9</f>
        <v/>
      </c>
      <c r="D10" s="116" t="n"/>
      <c r="E10" s="17" t="inlineStr">
        <is>
          <t>АКТУАЛЬНО ДО</t>
        </is>
      </c>
      <c r="F10" s="43">
        <f>C10+'Параметры'!C31</f>
        <v/>
      </c>
    </row>
    <row r="11">
      <c r="B11" s="37" t="n"/>
      <c r="C11" s="37" t="n"/>
      <c r="D11" s="37" t="n"/>
      <c r="E11" s="37" t="n"/>
      <c r="F11" s="37" t="n"/>
    </row>
    <row r="12">
      <c r="B12" s="17" t="inlineStr">
        <is>
          <t>01  /  ВИЗУАЛИЗАЦИЯ</t>
        </is>
      </c>
      <c r="D12" s="121" t="inlineStr">
        <is>
          <t>РЕКОМЕНДУЕМОЕ РАЗРЕШЕНИЕ: 1024×1024 px (квадрат)</t>
        </is>
      </c>
    </row>
    <row r="13" ht="18" customHeight="1" s="106">
      <c r="B13" s="49" t="inlineStr">
        <is>
          <t>РАКУРС 1  ·  ФРОНТ</t>
        </is>
      </c>
      <c r="C13" s="116" t="n"/>
      <c r="D13" s="49" t="inlineStr">
        <is>
          <t>РАКУРС 2  ·  3/4</t>
        </is>
      </c>
      <c r="E13" s="49" t="inlineStr">
        <is>
          <t>РАКУРС 3  ·  СБОКУ</t>
        </is>
      </c>
      <c r="F13" s="116" t="n"/>
    </row>
    <row r="14" ht="21.75" customHeight="1" s="106">
      <c r="B14" s="122" t="inlineStr">
        <is>
          <t>Вставка → Изображение
1024×1024</t>
        </is>
      </c>
      <c r="C14" s="123" t="n"/>
      <c r="D14" s="122" t="inlineStr">
        <is>
          <t>Вставка → Изображение
1024×1024</t>
        </is>
      </c>
      <c r="E14" s="122" t="inlineStr">
        <is>
          <t>Вставка → Изображение
1024×1024</t>
        </is>
      </c>
      <c r="F14" s="123" t="n"/>
    </row>
    <row r="15" ht="21.75" customHeight="1" s="106">
      <c r="B15" s="124" t="n"/>
      <c r="C15" s="125" t="n"/>
      <c r="D15" s="126" t="n"/>
      <c r="E15" s="124" t="n"/>
      <c r="F15" s="125" t="n"/>
    </row>
    <row r="16" ht="21.75" customHeight="1" s="106">
      <c r="B16" s="124" t="n"/>
      <c r="C16" s="125" t="n"/>
      <c r="D16" s="126" t="n"/>
      <c r="E16" s="124" t="n"/>
      <c r="F16" s="125" t="n"/>
    </row>
    <row r="17" ht="21.75" customHeight="1" s="106">
      <c r="B17" s="124" t="n"/>
      <c r="C17" s="125" t="n"/>
      <c r="D17" s="126" t="n"/>
      <c r="E17" s="124" t="n"/>
      <c r="F17" s="125" t="n"/>
    </row>
    <row r="18" ht="21.75" customHeight="1" s="106">
      <c r="B18" s="124" t="n"/>
      <c r="C18" s="125" t="n"/>
      <c r="D18" s="126" t="n"/>
      <c r="E18" s="124" t="n"/>
      <c r="F18" s="125" t="n"/>
    </row>
    <row r="19" ht="21.75" customHeight="1" s="106">
      <c r="B19" s="124" t="n"/>
      <c r="C19" s="125" t="n"/>
      <c r="D19" s="126" t="n"/>
      <c r="E19" s="124" t="n"/>
      <c r="F19" s="125" t="n"/>
    </row>
    <row r="20" ht="21.75" customHeight="1" s="106">
      <c r="B20" s="124" t="n"/>
      <c r="C20" s="125" t="n"/>
      <c r="D20" s="126" t="n"/>
      <c r="E20" s="124" t="n"/>
      <c r="F20" s="125" t="n"/>
    </row>
    <row r="21" ht="21.75" customHeight="1" s="106">
      <c r="B21" s="127" t="n"/>
      <c r="C21" s="128" t="n"/>
      <c r="D21" s="129" t="n"/>
      <c r="E21" s="127" t="n"/>
      <c r="F21" s="128" t="n"/>
    </row>
    <row r="22" ht="15.75" customHeight="1" s="106">
      <c r="B22" s="130" t="inlineStr">
        <is>
          <t>Три ракурса одного изделия. Формат JPG/PNG, без сжатия «для веба». Допустимо 1200×1200.</t>
        </is>
      </c>
    </row>
    <row r="23" ht="15.75" customHeight="1" s="106">
      <c r="B23" s="37" t="n"/>
      <c r="C23" s="37" t="n"/>
      <c r="D23" s="37" t="n"/>
      <c r="E23" s="37" t="n"/>
      <c r="F23" s="37" t="n"/>
    </row>
    <row r="24" ht="15.75" customHeight="1" s="106">
      <c r="B24" s="17" t="inlineStr">
        <is>
          <t>02  /  ИЗДЕЛИЕ</t>
        </is>
      </c>
    </row>
    <row r="25" ht="25.5" customHeight="1" s="106">
      <c r="B25" s="131">
        <f>'Сводка'!C7</f>
        <v/>
      </c>
    </row>
    <row r="26" ht="18" customHeight="1" s="106"/>
    <row r="27" ht="15.75" customHeight="1" s="106">
      <c r="B27" s="132">
        <f>"Тип: "&amp;'Сводка'!C8</f>
        <v/>
      </c>
    </row>
    <row r="28" ht="15.75" customHeight="1" s="106">
      <c r="B28" s="37" t="n"/>
      <c r="C28" s="37" t="n"/>
      <c r="D28" s="37" t="n"/>
      <c r="E28" s="37" t="n"/>
      <c r="F28" s="37" t="n"/>
    </row>
    <row r="29" ht="15.75" customHeight="1" s="106">
      <c r="B29" s="17" t="inlineStr">
        <is>
          <t>03  /  СОСТАВ РАБОТ</t>
        </is>
      </c>
    </row>
    <row r="30" ht="24" customHeight="1" s="106">
      <c r="B30" s="67" t="inlineStr">
        <is>
          <t>01</t>
        </is>
      </c>
      <c r="C30" s="133" t="inlineStr">
        <is>
          <t>Проектирование и подготовка</t>
        </is>
      </c>
      <c r="D30" s="116" t="n"/>
      <c r="E30" s="69" t="n">
        <v>0.05</v>
      </c>
      <c r="F30" s="71">
        <f>IF('Сводка'!$D$24=0,0,ROUND('Сводка'!$D$24*E30,2))</f>
        <v/>
      </c>
    </row>
    <row r="31" ht="18" customHeight="1" s="106">
      <c r="B31" s="37" t="n"/>
      <c r="C31" s="132" t="inlineStr">
        <is>
          <t>замер, эскизы, лекала</t>
        </is>
      </c>
    </row>
    <row r="32" ht="24" customHeight="1" s="106">
      <c r="B32" s="67" t="inlineStr">
        <is>
          <t>02</t>
        </is>
      </c>
      <c r="C32" s="133" t="inlineStr">
        <is>
          <t>Материалы</t>
        </is>
      </c>
      <c r="D32" s="116" t="n"/>
      <c r="E32" s="69" t="n">
        <v>0.35</v>
      </c>
      <c r="F32" s="71">
        <f>IF('Сводка'!$D$24=0,0,ROUND('Сводка'!$D$24*E32,2))</f>
        <v/>
      </c>
    </row>
    <row r="33" ht="18" customHeight="1" s="106">
      <c r="B33" s="37" t="n"/>
      <c r="C33" s="132" t="inlineStr">
        <is>
          <t>металл, комплектующие, резка / токарка</t>
        </is>
      </c>
    </row>
    <row r="34" ht="24" customHeight="1" s="106">
      <c r="B34" s="67" t="inlineStr">
        <is>
          <t>03</t>
        </is>
      </c>
      <c r="C34" s="133" t="inlineStr">
        <is>
          <t>Изготовление</t>
        </is>
      </c>
      <c r="D34" s="116" t="n"/>
      <c r="E34" s="69" t="n">
        <v>0.35</v>
      </c>
      <c r="F34" s="71">
        <f>IF('Сводка'!$D$24=0,0,ROUND('Сводка'!$D$24*E34,2))</f>
        <v/>
      </c>
    </row>
    <row r="35" ht="18" customHeight="1" s="106">
      <c r="B35" s="37" t="n"/>
      <c r="C35" s="132" t="inlineStr">
        <is>
          <t>цех, сварка, расходники</t>
        </is>
      </c>
    </row>
    <row r="36" ht="24" customHeight="1" s="106">
      <c r="B36" s="67" t="inlineStr">
        <is>
          <t>04</t>
        </is>
      </c>
      <c r="C36" s="133" t="inlineStr">
        <is>
          <t>Окраска и обработка</t>
        </is>
      </c>
      <c r="D36" s="116" t="n"/>
      <c r="E36" s="69" t="n">
        <v>0.1</v>
      </c>
      <c r="F36" s="71">
        <f>IF('Сводка'!$D$24=0,0,ROUND('Сводка'!$D$24*E36,2))</f>
        <v/>
      </c>
    </row>
    <row r="37" ht="18" customHeight="1" s="106">
      <c r="B37" s="37" t="n"/>
      <c r="C37" s="132" t="inlineStr">
        <is>
          <t>эмаль / порошок / пескоструй</t>
        </is>
      </c>
    </row>
    <row r="38" ht="24" customHeight="1" s="106">
      <c r="B38" s="67" t="inlineStr">
        <is>
          <t>05</t>
        </is>
      </c>
      <c r="C38" s="133" t="inlineStr">
        <is>
          <t>Монтаж / доставка</t>
        </is>
      </c>
      <c r="D38" s="116" t="n"/>
      <c r="E38" s="69" t="n">
        <v>0.15</v>
      </c>
      <c r="F38" s="71">
        <f>IF('Сводка'!$D$24=0,0,ROUND('Сводка'!$D$24*E38,2))</f>
        <v/>
      </c>
    </row>
    <row r="39" ht="18" customHeight="1" s="106">
      <c r="B39" s="37" t="n"/>
      <c r="C39" s="132" t="inlineStr">
        <is>
          <t>доставка на объект, установка</t>
        </is>
      </c>
    </row>
    <row r="40" ht="15.75" customHeight="1" s="106">
      <c r="B40" s="37" t="n"/>
      <c r="C40" s="37" t="n"/>
      <c r="D40" s="37" t="n"/>
      <c r="E40" s="37" t="n"/>
      <c r="F40" s="37" t="n"/>
    </row>
    <row r="41" ht="15.75" customHeight="1" s="106">
      <c r="B41" s="17" t="inlineStr">
        <is>
          <t>ДОЛИ</t>
        </is>
      </c>
      <c r="C41" s="37" t="n"/>
      <c r="D41" s="37" t="n"/>
      <c r="E41" s="64">
        <f>SUM(E30,E32,E34,E36,E38)</f>
        <v/>
      </c>
      <c r="F41" s="75">
        <f>IF(ABS(E41-1)&lt;0.001,"OK","проверьте доли")</f>
        <v/>
      </c>
    </row>
    <row r="42" ht="15.75" customHeight="1" s="106">
      <c r="B42" s="37" t="n"/>
      <c r="C42" s="37" t="n"/>
      <c r="D42" s="37" t="n"/>
      <c r="E42" s="37" t="n"/>
      <c r="F42" s="37" t="n"/>
    </row>
    <row r="43" ht="27.75" customHeight="1" s="106">
      <c r="B43" s="134" t="inlineStr">
        <is>
          <t>ИТОГО</t>
        </is>
      </c>
      <c r="C43" s="135" t="n"/>
      <c r="D43" s="123" t="n"/>
      <c r="E43" s="136">
        <f>F30+F32+F34+F36+F38</f>
        <v/>
      </c>
      <c r="F43" s="123" t="n"/>
    </row>
    <row r="44" ht="27.75" customHeight="1" s="106">
      <c r="B44" s="127" t="n"/>
      <c r="C44" s="137" t="n"/>
      <c r="D44" s="128" t="n"/>
      <c r="E44" s="127" t="n"/>
      <c r="F44" s="128" t="n"/>
    </row>
    <row r="45" ht="15.75" customHeight="1" s="106">
      <c r="B45" s="17" t="inlineStr">
        <is>
          <t>СВОДКА</t>
        </is>
      </c>
      <c r="C45" s="37" t="n"/>
      <c r="D45" s="37" t="n"/>
      <c r="E45" s="80">
        <f>'Сводка'!D24</f>
        <v/>
      </c>
      <c r="F45" s="75">
        <f>IF('Сводка'!D24=0,"введите цену КП",IF(ABS(E43-'Сводка'!D24)&lt;1,"сходится","расходится"))</f>
        <v/>
      </c>
    </row>
    <row r="46" ht="15.75" customHeight="1" s="106">
      <c r="B46" s="37" t="n"/>
      <c r="C46" s="37" t="n"/>
      <c r="D46" s="37" t="n"/>
      <c r="E46" s="37" t="n"/>
      <c r="F46" s="37" t="n"/>
    </row>
    <row r="47" ht="15.75" customHeight="1" s="106">
      <c r="B47" s="138" t="inlineStr">
        <is>
          <t>ПРОВЕДЕНИЕ ЧЕРЕЗ СЗ 4%  ·  ФИЗ. ЛИЦО</t>
        </is>
      </c>
      <c r="E47" s="37" t="n"/>
      <c r="F47" s="82">
        <f>E43*1.04</f>
        <v/>
      </c>
    </row>
    <row r="48" ht="15.75" customHeight="1" s="106">
      <c r="B48" s="138" t="inlineStr">
        <is>
          <t>ПРОВЕДЕНИЕ ЧЕРЕЗ СЗ 6%  ·  ЮР. ЛИЦО</t>
        </is>
      </c>
      <c r="E48" s="37" t="n"/>
      <c r="F48" s="82">
        <f>E43*1.06</f>
        <v/>
      </c>
    </row>
    <row r="49" ht="15.75" customHeight="1" s="106">
      <c r="B49" s="37" t="n"/>
      <c r="C49" s="37" t="n"/>
      <c r="D49" s="37" t="n"/>
      <c r="E49" s="37" t="n"/>
      <c r="F49" s="37" t="n"/>
    </row>
    <row r="50" ht="15.75" customHeight="1" s="106">
      <c r="B50" s="17" t="inlineStr">
        <is>
          <t>04  /  УСЛОВИЯ</t>
        </is>
      </c>
    </row>
    <row r="51" ht="15.75" customHeight="1" s="106">
      <c r="B51" s="133" t="inlineStr">
        <is>
          <t>АВАНС</t>
        </is>
      </c>
      <c r="C51" s="116" t="n"/>
      <c r="D51" s="69" t="n">
        <v>0.5</v>
      </c>
      <c r="E51" s="83" t="n"/>
      <c r="F51" s="71">
        <f>E43*D51</f>
        <v/>
      </c>
    </row>
    <row r="52" ht="15.75" customHeight="1" s="106">
      <c r="B52" s="133" t="inlineStr">
        <is>
          <t>ОСТАТОК</t>
        </is>
      </c>
      <c r="C52" s="139" t="n"/>
      <c r="D52" s="116" t="n"/>
      <c r="E52" s="83" t="n"/>
      <c r="F52" s="71">
        <f>E43-F51</f>
        <v/>
      </c>
    </row>
    <row r="53" ht="15.75" customHeight="1" s="106">
      <c r="B53" s="133" t="inlineStr">
        <is>
          <t>СРОК</t>
        </is>
      </c>
      <c r="C53" s="116" t="n"/>
      <c r="D53" s="140" t="inlineStr">
        <is>
          <t>14–21 рабочий день</t>
        </is>
      </c>
      <c r="E53" s="139" t="n"/>
      <c r="F53" s="116" t="n"/>
    </row>
    <row r="54" ht="15.75" customHeight="1" s="106">
      <c r="B54" s="37" t="n"/>
      <c r="C54" s="37" t="n"/>
      <c r="D54" s="37" t="n"/>
      <c r="E54" s="37" t="n"/>
      <c r="F54" s="37" t="n"/>
    </row>
    <row r="55" ht="15.75" customHeight="1" s="106">
      <c r="B55" s="141" t="inlineStr">
        <is>
          <t>05  /  КОНТАКТЫ</t>
        </is>
      </c>
    </row>
    <row r="56" ht="15.75" customHeight="1" s="106">
      <c r="B56" s="142">
        <f>'Параметры'!C19</f>
        <v/>
      </c>
      <c r="D56" s="132">
        <f>'Параметры'!C20</f>
        <v/>
      </c>
    </row>
    <row r="57" ht="15.75" customHeight="1" s="106">
      <c r="B57" s="138">
        <f>"Т  "&amp;'Параметры'!C22</f>
        <v/>
      </c>
      <c r="D57" s="132">
        <f>"Пн–Пт  "&amp;'Параметры'!C26</f>
        <v/>
      </c>
    </row>
    <row r="58" ht="15.75" customHeight="1" s="106">
      <c r="B58" s="138">
        <f>"W  "&amp;'Параметры'!C23</f>
        <v/>
      </c>
      <c r="D58" s="132">
        <f>"Сб  "&amp;'Параметры'!C27&amp;"   Вс  "&amp;'Параметры'!C28</f>
        <v/>
      </c>
    </row>
    <row r="59" ht="15.75" customHeight="1" s="106">
      <c r="B59" s="138">
        <f>"E  "&amp;'Параметры'!C24</f>
        <v/>
      </c>
      <c r="D59" s="132">
        <f>'Параметры'!C30</f>
        <v/>
      </c>
    </row>
    <row r="60" ht="15.75" customHeight="1" s="106">
      <c r="B60" s="138">
        <f>"A  "&amp;'Параметры'!C25</f>
        <v/>
      </c>
      <c r="D60" s="37" t="n"/>
      <c r="E60" s="37" t="n"/>
      <c r="F60" s="37" t="n"/>
    </row>
    <row r="61" ht="24" customHeight="1" s="106">
      <c r="B61" s="143">
        <f>"ДЕЙСТВИТЕЛЬНО ДО  "&amp;TEXT(F10,"DD.MM.YYYY")</f>
        <v/>
      </c>
    </row>
    <row r="62" ht="15.75" customHeight="1" s="106">
      <c r="B62" s="37" t="n"/>
      <c r="C62" s="37" t="n"/>
      <c r="D62" s="37" t="n"/>
      <c r="E62" s="37" t="n"/>
      <c r="F62" s="37" t="n"/>
    </row>
    <row r="63" ht="15.75" customHeight="1" s="106">
      <c r="B63" s="37" t="n"/>
      <c r="C63" s="37" t="n"/>
      <c r="D63" s="37" t="n"/>
      <c r="E63" s="37" t="n"/>
      <c r="F63" s="37" t="n"/>
    </row>
    <row r="64" ht="15.75" customHeight="1" s="106">
      <c r="B64" s="37" t="n"/>
      <c r="C64" s="37" t="n"/>
      <c r="D64" s="37" t="n"/>
      <c r="E64" s="37" t="n"/>
      <c r="F64" s="37" t="n"/>
    </row>
    <row r="65" ht="15.75" customHeight="1" s="106">
      <c r="B65" s="37" t="n"/>
      <c r="C65" s="37" t="n"/>
      <c r="D65" s="37" t="n"/>
      <c r="E65" s="37" t="n"/>
      <c r="F65" s="37" t="n"/>
    </row>
    <row r="66" ht="15.75" customHeight="1" s="106">
      <c r="B66" s="37" t="n"/>
      <c r="C66" s="37" t="n"/>
      <c r="D66" s="37" t="n"/>
      <c r="E66" s="37" t="n"/>
      <c r="F66" s="37" t="n"/>
    </row>
    <row r="67" ht="15.75" customHeight="1" s="106">
      <c r="B67" s="37" t="n"/>
      <c r="C67" s="37" t="n"/>
      <c r="D67" s="37" t="n"/>
      <c r="E67" s="37" t="n"/>
      <c r="F67" s="37" t="n"/>
    </row>
    <row r="68" ht="15.75" customHeight="1" s="106">
      <c r="B68" s="37" t="n"/>
      <c r="C68" s="37" t="n"/>
      <c r="D68" s="37" t="n"/>
      <c r="E68" s="37" t="n"/>
      <c r="F68" s="37" t="n"/>
    </row>
    <row r="69" ht="15.75" customHeight="1" s="106">
      <c r="B69" s="37" t="n"/>
      <c r="C69" s="37" t="n"/>
      <c r="D69" s="37" t="n"/>
      <c r="E69" s="37" t="n"/>
      <c r="F69" s="37" t="n"/>
    </row>
    <row r="70" ht="15.75" customHeight="1" s="106">
      <c r="B70" s="37" t="n"/>
      <c r="C70" s="37" t="n"/>
      <c r="D70" s="37" t="n"/>
      <c r="E70" s="37" t="n"/>
      <c r="F70" s="37" t="n"/>
    </row>
    <row r="71" ht="15.75" customHeight="1" s="106">
      <c r="B71" s="37" t="n"/>
      <c r="C71" s="37" t="n"/>
      <c r="D71" s="37" t="n"/>
      <c r="E71" s="37" t="n"/>
      <c r="F71" s="37" t="n"/>
    </row>
    <row r="72" ht="15.75" customHeight="1" s="106"/>
    <row r="73" ht="15.75" customHeight="1" s="106"/>
    <row r="74" ht="15.75" customHeight="1" s="106"/>
    <row r="75" ht="15.75" customHeight="1" s="106"/>
    <row r="76" ht="15.75" customHeight="1" s="106"/>
    <row r="77" ht="15.75" customHeight="1" s="106"/>
    <row r="78" ht="15.75" customHeight="1" s="106"/>
    <row r="79" ht="15.75" customHeight="1" s="106"/>
    <row r="80" ht="15.75" customHeight="1" s="106"/>
    <row r="81" ht="15.75" customHeight="1" s="106"/>
    <row r="82" ht="15.75" customHeight="1" s="106"/>
    <row r="83" ht="15.75" customHeight="1" s="106"/>
    <row r="84" ht="15.75" customHeight="1" s="106"/>
    <row r="85" ht="15.75" customHeight="1" s="106"/>
    <row r="86" ht="15.75" customHeight="1" s="106"/>
    <row r="87" ht="15.75" customHeight="1" s="106"/>
    <row r="88" ht="15.75" customHeight="1" s="106"/>
    <row r="89" ht="15.75" customHeight="1" s="106"/>
    <row r="90" ht="15.75" customHeight="1" s="106"/>
    <row r="91" ht="15.75" customHeight="1" s="106"/>
    <row r="92" ht="15.75" customHeight="1" s="106"/>
    <row r="93" ht="15.75" customHeight="1" s="106"/>
    <row r="94" ht="15.75" customHeight="1" s="106"/>
    <row r="95" ht="15.75" customHeight="1" s="106"/>
    <row r="96" ht="15.75" customHeight="1" s="106"/>
    <row r="97" ht="15.75" customHeight="1" s="106"/>
    <row r="98" ht="15.75" customHeight="1" s="106"/>
    <row r="99" ht="15.75" customHeight="1" s="106"/>
    <row r="100" ht="15.75" customHeight="1" s="106"/>
    <row r="101" ht="15.75" customHeight="1" s="106"/>
    <row r="102" ht="15.75" customHeight="1" s="106"/>
    <row r="103" ht="15.75" customHeight="1" s="106"/>
    <row r="104" ht="15.75" customHeight="1" s="106"/>
    <row r="105" ht="15.75" customHeight="1" s="106"/>
    <row r="106" ht="15.75" customHeight="1" s="106"/>
    <row r="107" ht="15.75" customHeight="1" s="106"/>
    <row r="108" ht="15.75" customHeight="1" s="106"/>
    <row r="109" ht="15.75" customHeight="1" s="106"/>
    <row r="110" ht="15.75" customHeight="1" s="106"/>
    <row r="111" ht="15.75" customHeight="1" s="106"/>
    <row r="112" ht="15.75" customHeight="1" s="106"/>
    <row r="113" ht="15.75" customHeight="1" s="106"/>
    <row r="114" ht="15.75" customHeight="1" s="106"/>
    <row r="115" ht="15.75" customHeight="1" s="106"/>
    <row r="116" ht="15.75" customHeight="1" s="106"/>
    <row r="117" ht="15.75" customHeight="1" s="106"/>
    <row r="118" ht="15.75" customHeight="1" s="106"/>
    <row r="119" ht="15.75" customHeight="1" s="106"/>
    <row r="120" ht="15.75" customHeight="1" s="106"/>
    <row r="121" ht="15.75" customHeight="1" s="106"/>
    <row r="122" ht="15.75" customHeight="1" s="106"/>
    <row r="123" ht="15.75" customHeight="1" s="106"/>
    <row r="124" ht="15.75" customHeight="1" s="106"/>
    <row r="125" ht="15.75" customHeight="1" s="106"/>
    <row r="126" ht="15.75" customHeight="1" s="106"/>
    <row r="127" ht="15.75" customHeight="1" s="106"/>
    <row r="128" ht="15.75" customHeight="1" s="106"/>
    <row r="129" ht="15.75" customHeight="1" s="106"/>
    <row r="130" ht="15.75" customHeight="1" s="106"/>
    <row r="131" ht="15.75" customHeight="1" s="106"/>
    <row r="132" ht="15.75" customHeight="1" s="106"/>
    <row r="133" ht="15.75" customHeight="1" s="106"/>
    <row r="134" ht="15.75" customHeight="1" s="106"/>
    <row r="135" ht="15.75" customHeight="1" s="106"/>
    <row r="136" ht="15.75" customHeight="1" s="106"/>
    <row r="137" ht="15.75" customHeight="1" s="106"/>
    <row r="138" ht="15.75" customHeight="1" s="106"/>
    <row r="139" ht="15.75" customHeight="1" s="106"/>
    <row r="140" ht="15.75" customHeight="1" s="106"/>
    <row r="141" ht="15.75" customHeight="1" s="106"/>
    <row r="142" ht="15.75" customHeight="1" s="106"/>
    <row r="143" ht="15.75" customHeight="1" s="106"/>
    <row r="144" ht="15.75" customHeight="1" s="106"/>
    <row r="145" ht="15.75" customHeight="1" s="106"/>
    <row r="146" ht="15.75" customHeight="1" s="106"/>
    <row r="147" ht="15.75" customHeight="1" s="106"/>
    <row r="148" ht="15.75" customHeight="1" s="106"/>
    <row r="149" ht="15.75" customHeight="1" s="106"/>
    <row r="150" ht="15.75" customHeight="1" s="106"/>
    <row r="151" ht="15.75" customHeight="1" s="106"/>
    <row r="152" ht="15.75" customHeight="1" s="106"/>
    <row r="153" ht="15.75" customHeight="1" s="106"/>
    <row r="154" ht="15.75" customHeight="1" s="106"/>
    <row r="155" ht="15.75" customHeight="1" s="106"/>
    <row r="156" ht="15.75" customHeight="1" s="106"/>
    <row r="157" ht="15.75" customHeight="1" s="106"/>
    <row r="158" ht="15.75" customHeight="1" s="106"/>
    <row r="159" ht="15.75" customHeight="1" s="106"/>
    <row r="160" ht="15.75" customHeight="1" s="106"/>
    <row r="161" ht="15.75" customHeight="1" s="106"/>
    <row r="162" ht="15.75" customHeight="1" s="106"/>
    <row r="163" ht="15.75" customHeight="1" s="106"/>
    <row r="164" ht="15.75" customHeight="1" s="106"/>
    <row r="165" ht="15.75" customHeight="1" s="106"/>
    <row r="166" ht="15.75" customHeight="1" s="106"/>
    <row r="167" ht="15.75" customHeight="1" s="106"/>
    <row r="168" ht="15.75" customHeight="1" s="106"/>
    <row r="169" ht="15.75" customHeight="1" s="106"/>
    <row r="170" ht="15.75" customHeight="1" s="106"/>
    <row r="171" ht="15.75" customHeight="1" s="106"/>
    <row r="172" ht="15.75" customHeight="1" s="106"/>
    <row r="173" ht="15.75" customHeight="1" s="106"/>
    <row r="174" ht="15.75" customHeight="1" s="106"/>
    <row r="175" ht="15.75" customHeight="1" s="106"/>
    <row r="176" ht="15.75" customHeight="1" s="106"/>
    <row r="177" ht="15.75" customHeight="1" s="106"/>
    <row r="178" ht="15.75" customHeight="1" s="106"/>
    <row r="179" ht="15.75" customHeight="1" s="106"/>
    <row r="180" ht="15.75" customHeight="1" s="106"/>
    <row r="181" ht="15.75" customHeight="1" s="106"/>
    <row r="182" ht="15.75" customHeight="1" s="106"/>
    <row r="183" ht="15.75" customHeight="1" s="106"/>
    <row r="184" ht="15.75" customHeight="1" s="106"/>
    <row r="185" ht="15.75" customHeight="1" s="106"/>
    <row r="186" ht="15.75" customHeight="1" s="106"/>
    <row r="187" ht="15.75" customHeight="1" s="106"/>
    <row r="188" ht="15.75" customHeight="1" s="106"/>
    <row r="189" ht="15.75" customHeight="1" s="106"/>
    <row r="190" ht="15.75" customHeight="1" s="106"/>
    <row r="191" ht="15.75" customHeight="1" s="106"/>
    <row r="192" ht="15.75" customHeight="1" s="106"/>
    <row r="193" ht="15.75" customHeight="1" s="106"/>
    <row r="194" ht="15.75" customHeight="1" s="106"/>
    <row r="195" ht="15.75" customHeight="1" s="106"/>
    <row r="196" ht="15.75" customHeight="1" s="106"/>
    <row r="197" ht="15.75" customHeight="1" s="106"/>
    <row r="198" ht="15.75" customHeight="1" s="106"/>
    <row r="199" ht="15.75" customHeight="1" s="106"/>
    <row r="200" ht="15.75" customHeight="1" s="106"/>
    <row r="201" ht="15.75" customHeight="1" s="106"/>
    <row r="202" ht="15.75" customHeight="1" s="106"/>
    <row r="203" ht="15.75" customHeight="1" s="106"/>
    <row r="204" ht="15.75" customHeight="1" s="106"/>
    <row r="205" ht="15.75" customHeight="1" s="106"/>
    <row r="206" ht="15.75" customHeight="1" s="106"/>
    <row r="207" ht="15.75" customHeight="1" s="106"/>
    <row r="208" ht="15.75" customHeight="1" s="106"/>
    <row r="209" ht="15.75" customHeight="1" s="106"/>
    <row r="210" ht="15.75" customHeight="1" s="106"/>
    <row r="211" ht="15.75" customHeight="1" s="106"/>
    <row r="212" ht="15.75" customHeight="1" s="106"/>
    <row r="213" ht="15.75" customHeight="1" s="106"/>
    <row r="214" ht="15.75" customHeight="1" s="106"/>
    <row r="215" ht="15.75" customHeight="1" s="106"/>
    <row r="216" ht="15.75" customHeight="1" s="106"/>
    <row r="217" ht="15.75" customHeight="1" s="106"/>
    <row r="218" ht="15.75" customHeight="1" s="106"/>
    <row r="219" ht="15.75" customHeight="1" s="106"/>
    <row r="220" ht="15.75" customHeight="1" s="106"/>
    <row r="221" ht="15.75" customHeight="1" s="106"/>
    <row r="222" ht="15.75" customHeight="1" s="106"/>
    <row r="223" ht="15.75" customHeight="1" s="106"/>
    <row r="224" ht="15.75" customHeight="1" s="106"/>
    <row r="225" ht="15.75" customHeight="1" s="106"/>
    <row r="226" ht="15.75" customHeight="1" s="106"/>
    <row r="227" ht="15.75" customHeight="1" s="106"/>
    <row r="228" ht="15.75" customHeight="1" s="106"/>
    <row r="229" ht="15.75" customHeight="1" s="106"/>
    <row r="230" ht="15.75" customHeight="1" s="106"/>
    <row r="231" ht="15.75" customHeight="1" s="106"/>
    <row r="232" ht="15.75" customHeight="1" s="106"/>
    <row r="233" ht="15.75" customHeight="1" s="106"/>
    <row r="234" ht="15.75" customHeight="1" s="106"/>
    <row r="235" ht="15.75" customHeight="1" s="106"/>
    <row r="236" ht="15.75" customHeight="1" s="106"/>
    <row r="237" ht="15.75" customHeight="1" s="106"/>
    <row r="238" ht="15.75" customHeight="1" s="106"/>
    <row r="239" ht="15.75" customHeight="1" s="106"/>
    <row r="240" ht="15.75" customHeight="1" s="106"/>
    <row r="241" ht="15.75" customHeight="1" s="106"/>
    <row r="242" ht="15.75" customHeight="1" s="106"/>
    <row r="243" ht="15.75" customHeight="1" s="106"/>
    <row r="244" ht="15.75" customHeight="1" s="106"/>
    <row r="245" ht="15.75" customHeight="1" s="106"/>
    <row r="246" ht="15.75" customHeight="1" s="106"/>
    <row r="247" ht="15.75" customHeight="1" s="106"/>
    <row r="248" ht="15.75" customHeight="1" s="106"/>
    <row r="249" ht="15.75" customHeight="1" s="106"/>
    <row r="250" ht="15.75" customHeight="1" s="106"/>
    <row r="251" ht="15.75" customHeight="1" s="106"/>
    <row r="252" ht="15.75" customHeight="1" s="106"/>
    <row r="253" ht="15.75" customHeight="1" s="106"/>
    <row r="254" ht="15.75" customHeight="1" s="106"/>
    <row r="255" ht="15.75" customHeight="1" s="106"/>
    <row r="256" ht="15.75" customHeight="1" s="106"/>
    <row r="257" ht="15.75" customHeight="1" s="106"/>
    <row r="258" ht="15.75" customHeight="1" s="106"/>
    <row r="259" ht="15.75" customHeight="1" s="106"/>
    <row r="260" ht="15.75" customHeight="1" s="106"/>
    <row r="261" ht="15.75" customHeight="1" s="106"/>
    <row r="262" ht="15.75" customHeight="1" s="106"/>
    <row r="263" ht="15.75" customHeight="1" s="106"/>
    <row r="264" ht="15.75" customHeight="1" s="106"/>
    <row r="265" ht="15.75" customHeight="1" s="106"/>
    <row r="266" ht="15.75" customHeight="1" s="106"/>
    <row r="267" ht="15.75" customHeight="1" s="106"/>
    <row r="268" ht="15.75" customHeight="1" s="106"/>
    <row r="269" ht="15.75" customHeight="1" s="106"/>
    <row r="270" ht="15.75" customHeight="1" s="106"/>
    <row r="271" ht="15.75" customHeight="1" s="106"/>
    <row r="272" ht="15.75" customHeight="1" s="106"/>
    <row r="273" ht="15.75" customHeight="1" s="106"/>
    <row r="274" ht="15.75" customHeight="1" s="106"/>
    <row r="275" ht="15.75" customHeight="1" s="106"/>
    <row r="276" ht="15.75" customHeight="1" s="106"/>
    <row r="277" ht="15.75" customHeight="1" s="106"/>
    <row r="278" ht="15.75" customHeight="1" s="106"/>
    <row r="279" ht="15.75" customHeight="1" s="106"/>
    <row r="280" ht="15.75" customHeight="1" s="106"/>
    <row r="281" ht="15.75" customHeight="1" s="106"/>
    <row r="282" ht="15.75" customHeight="1" s="106"/>
    <row r="283" ht="15.75" customHeight="1" s="106"/>
    <row r="284" ht="15.75" customHeight="1" s="106"/>
    <row r="285" ht="15.75" customHeight="1" s="106"/>
    <row r="286" ht="15.75" customHeight="1" s="106"/>
    <row r="287" ht="15.75" customHeight="1" s="106"/>
    <row r="288" ht="15.75" customHeight="1" s="106"/>
    <row r="289" ht="15.75" customHeight="1" s="106"/>
    <row r="290" ht="15.75" customHeight="1" s="106"/>
    <row r="291" ht="15.75" customHeight="1" s="106"/>
    <row r="292" ht="15.75" customHeight="1" s="106"/>
    <row r="293" ht="15.75" customHeight="1" s="106"/>
    <row r="294" ht="15.75" customHeight="1" s="106"/>
    <row r="295" ht="15.75" customHeight="1" s="106"/>
    <row r="296" ht="15.75" customHeight="1" s="106"/>
    <row r="297" ht="15.75" customHeight="1" s="106"/>
    <row r="298" ht="15.75" customHeight="1" s="106"/>
    <row r="299" ht="15.75" customHeight="1" s="106"/>
    <row r="300" ht="15.75" customHeight="1" s="106"/>
    <row r="301" ht="15.75" customHeight="1" s="106"/>
    <row r="302" ht="15.75" customHeight="1" s="106"/>
    <row r="303" ht="15.75" customHeight="1" s="106"/>
    <row r="304" ht="15.75" customHeight="1" s="106"/>
    <row r="305" ht="15.75" customHeight="1" s="106"/>
    <row r="306" ht="15.75" customHeight="1" s="106"/>
    <row r="307" ht="15.75" customHeight="1" s="106"/>
    <row r="308" ht="15.75" customHeight="1" s="106"/>
    <row r="309" ht="15.75" customHeight="1" s="106"/>
    <row r="310" ht="15.75" customHeight="1" s="106"/>
    <row r="311" ht="15.75" customHeight="1" s="106"/>
    <row r="312" ht="15.75" customHeight="1" s="106"/>
    <row r="313" ht="15.75" customHeight="1" s="106"/>
    <row r="314" ht="15.75" customHeight="1" s="106"/>
    <row r="315" ht="15.75" customHeight="1" s="106"/>
    <row r="316" ht="15.75" customHeight="1" s="106"/>
    <row r="317" ht="15.75" customHeight="1" s="106"/>
    <row r="318" ht="15.75" customHeight="1" s="106"/>
    <row r="319" ht="15.75" customHeight="1" s="106"/>
    <row r="320" ht="15.75" customHeight="1" s="106"/>
    <row r="321" ht="15.75" customHeight="1" s="106"/>
    <row r="322" ht="15.75" customHeight="1" s="106"/>
    <row r="323" ht="15.75" customHeight="1" s="106"/>
    <row r="324" ht="15.75" customHeight="1" s="106"/>
    <row r="325" ht="15.75" customHeight="1" s="106"/>
    <row r="326" ht="15.75" customHeight="1" s="106"/>
    <row r="327" ht="15.75" customHeight="1" s="106"/>
    <row r="328" ht="15.75" customHeight="1" s="106"/>
    <row r="329" ht="15.75" customHeight="1" s="106"/>
    <row r="330" ht="15.75" customHeight="1" s="106"/>
    <row r="331" ht="15.75" customHeight="1" s="106"/>
    <row r="332" ht="15.75" customHeight="1" s="106"/>
    <row r="333" ht="15.75" customHeight="1" s="106"/>
    <row r="334" ht="15.75" customHeight="1" s="106"/>
    <row r="335" ht="15.75" customHeight="1" s="106"/>
    <row r="336" ht="15.75" customHeight="1" s="106"/>
    <row r="337" ht="15.75" customHeight="1" s="106"/>
    <row r="338" ht="15.75" customHeight="1" s="106"/>
    <row r="339" ht="15.75" customHeight="1" s="106"/>
    <row r="340" ht="15.75" customHeight="1" s="106"/>
    <row r="341" ht="15.75" customHeight="1" s="106"/>
    <row r="342" ht="15.75" customHeight="1" s="106"/>
    <row r="343" ht="15.75" customHeight="1" s="106"/>
    <row r="344" ht="15.75" customHeight="1" s="106"/>
    <row r="345" ht="15.75" customHeight="1" s="106"/>
    <row r="346" ht="15.75" customHeight="1" s="106"/>
    <row r="347" ht="15.75" customHeight="1" s="106"/>
    <row r="348" ht="15.75" customHeight="1" s="106"/>
    <row r="349" ht="15.75" customHeight="1" s="106"/>
    <row r="350" ht="15.75" customHeight="1" s="106"/>
    <row r="351" ht="15.75" customHeight="1" s="106"/>
    <row r="352" ht="15.75" customHeight="1" s="106"/>
    <row r="353" ht="15.75" customHeight="1" s="106"/>
    <row r="354" ht="15.75" customHeight="1" s="106"/>
    <row r="355" ht="15.75" customHeight="1" s="106"/>
    <row r="356" ht="15.75" customHeight="1" s="106"/>
    <row r="357" ht="15.75" customHeight="1" s="106"/>
    <row r="358" ht="15.75" customHeight="1" s="106"/>
    <row r="359" ht="15.75" customHeight="1" s="106"/>
    <row r="360" ht="15.75" customHeight="1" s="106"/>
    <row r="361" ht="15.75" customHeight="1" s="106"/>
    <row r="362" ht="15.75" customHeight="1" s="106"/>
    <row r="363" ht="15.75" customHeight="1" s="106"/>
    <row r="364" ht="15.75" customHeight="1" s="106"/>
    <row r="365" ht="15.75" customHeight="1" s="106"/>
    <row r="366" ht="15.75" customHeight="1" s="106"/>
    <row r="367" ht="15.75" customHeight="1" s="106"/>
    <row r="368" ht="15.75" customHeight="1" s="106"/>
    <row r="369" ht="15.75" customHeight="1" s="106"/>
    <row r="370" ht="15.75" customHeight="1" s="106"/>
    <row r="371" ht="15.75" customHeight="1" s="106"/>
    <row r="372" ht="15.75" customHeight="1" s="106"/>
    <row r="373" ht="15.75" customHeight="1" s="106"/>
    <row r="374" ht="15.75" customHeight="1" s="106"/>
    <row r="375" ht="15.75" customHeight="1" s="106"/>
    <row r="376" ht="15.75" customHeight="1" s="106"/>
    <row r="377" ht="15.75" customHeight="1" s="106"/>
    <row r="378" ht="15.75" customHeight="1" s="106"/>
    <row r="379" ht="15.75" customHeight="1" s="106"/>
    <row r="380" ht="15.75" customHeight="1" s="106"/>
    <row r="381" ht="15.75" customHeight="1" s="106"/>
    <row r="382" ht="15.75" customHeight="1" s="106"/>
    <row r="383" ht="15.75" customHeight="1" s="106"/>
    <row r="384" ht="15.75" customHeight="1" s="106"/>
    <row r="385" ht="15.75" customHeight="1" s="106"/>
    <row r="386" ht="15.75" customHeight="1" s="106"/>
    <row r="387" ht="15.75" customHeight="1" s="106"/>
    <row r="388" ht="15.75" customHeight="1" s="106"/>
    <row r="389" ht="15.75" customHeight="1" s="106"/>
    <row r="390" ht="15.75" customHeight="1" s="106"/>
    <row r="391" ht="15.75" customHeight="1" s="106"/>
    <row r="392" ht="15.75" customHeight="1" s="106"/>
    <row r="393" ht="15.75" customHeight="1" s="106"/>
    <row r="394" ht="15.75" customHeight="1" s="106"/>
    <row r="395" ht="15.75" customHeight="1" s="106"/>
    <row r="396" ht="15.75" customHeight="1" s="106"/>
    <row r="397" ht="15.75" customHeight="1" s="106"/>
    <row r="398" ht="15.75" customHeight="1" s="106"/>
    <row r="399" ht="15.75" customHeight="1" s="106"/>
    <row r="400" ht="15.75" customHeight="1" s="106"/>
    <row r="401" ht="15.75" customHeight="1" s="106"/>
    <row r="402" ht="15.75" customHeight="1" s="106"/>
    <row r="403" ht="15.75" customHeight="1" s="106"/>
    <row r="404" ht="15.75" customHeight="1" s="106"/>
    <row r="405" ht="15.75" customHeight="1" s="106"/>
    <row r="406" ht="15.75" customHeight="1" s="106"/>
    <row r="407" ht="15.75" customHeight="1" s="106"/>
    <row r="408" ht="15.75" customHeight="1" s="106"/>
    <row r="409" ht="15.75" customHeight="1" s="106"/>
    <row r="410" ht="15.75" customHeight="1" s="106"/>
    <row r="411" ht="15.75" customHeight="1" s="106"/>
    <row r="412" ht="15.75" customHeight="1" s="106"/>
    <row r="413" ht="15.75" customHeight="1" s="106"/>
    <row r="414" ht="15.75" customHeight="1" s="106"/>
    <row r="415" ht="15.75" customHeight="1" s="106"/>
    <row r="416" ht="15.75" customHeight="1" s="106"/>
    <row r="417" ht="15.75" customHeight="1" s="106"/>
    <row r="418" ht="15.75" customHeight="1" s="106"/>
    <row r="419" ht="15.75" customHeight="1" s="106"/>
    <row r="420" ht="15.75" customHeight="1" s="106"/>
    <row r="421" ht="15.75" customHeight="1" s="106"/>
    <row r="422" ht="15.75" customHeight="1" s="106"/>
    <row r="423" ht="15.75" customHeight="1" s="106"/>
    <row r="424" ht="15.75" customHeight="1" s="106"/>
    <row r="425" ht="15.75" customHeight="1" s="106"/>
    <row r="426" ht="15.75" customHeight="1" s="106"/>
    <row r="427" ht="15.75" customHeight="1" s="106"/>
    <row r="428" ht="15.75" customHeight="1" s="106"/>
    <row r="429" ht="15.75" customHeight="1" s="106"/>
    <row r="430" ht="15.75" customHeight="1" s="106"/>
    <row r="431" ht="15.75" customHeight="1" s="106"/>
    <row r="432" ht="15.75" customHeight="1" s="106"/>
    <row r="433" ht="15.75" customHeight="1" s="106"/>
    <row r="434" ht="15.75" customHeight="1" s="106"/>
    <row r="435" ht="15.75" customHeight="1" s="106"/>
    <row r="436" ht="15.75" customHeight="1" s="106"/>
    <row r="437" ht="15.75" customHeight="1" s="106"/>
    <row r="438" ht="15.75" customHeight="1" s="106"/>
    <row r="439" ht="15.75" customHeight="1" s="106"/>
    <row r="440" ht="15.75" customHeight="1" s="106"/>
    <row r="441" ht="15.75" customHeight="1" s="106"/>
    <row r="442" ht="15.75" customHeight="1" s="106"/>
    <row r="443" ht="15.75" customHeight="1" s="106"/>
    <row r="444" ht="15.75" customHeight="1" s="106"/>
    <row r="445" ht="15.75" customHeight="1" s="106"/>
    <row r="446" ht="15.75" customHeight="1" s="106"/>
    <row r="447" ht="15.75" customHeight="1" s="106"/>
    <row r="448" ht="15.75" customHeight="1" s="106"/>
    <row r="449" ht="15.75" customHeight="1" s="106"/>
    <row r="450" ht="15.75" customHeight="1" s="106"/>
    <row r="451" ht="15.75" customHeight="1" s="106"/>
    <row r="452" ht="15.75" customHeight="1" s="106"/>
    <row r="453" ht="15.75" customHeight="1" s="106"/>
    <row r="454" ht="15.75" customHeight="1" s="106"/>
    <row r="455" ht="15.75" customHeight="1" s="106"/>
    <row r="456" ht="15.75" customHeight="1" s="106"/>
    <row r="457" ht="15.75" customHeight="1" s="106"/>
    <row r="458" ht="15.75" customHeight="1" s="106"/>
    <row r="459" ht="15.75" customHeight="1" s="106"/>
    <row r="460" ht="15.75" customHeight="1" s="106"/>
    <row r="461" ht="15.75" customHeight="1" s="106"/>
    <row r="462" ht="15.75" customHeight="1" s="106"/>
    <row r="463" ht="15.75" customHeight="1" s="106"/>
    <row r="464" ht="15.75" customHeight="1" s="106"/>
    <row r="465" ht="15.75" customHeight="1" s="106"/>
    <row r="466" ht="15.75" customHeight="1" s="106"/>
    <row r="467" ht="15.75" customHeight="1" s="106"/>
    <row r="468" ht="15.75" customHeight="1" s="106"/>
    <row r="469" ht="15.75" customHeight="1" s="106"/>
    <row r="470" ht="15.75" customHeight="1" s="106"/>
    <row r="471" ht="15.75" customHeight="1" s="106"/>
    <row r="472" ht="15.75" customHeight="1" s="106"/>
    <row r="473" ht="15.75" customHeight="1" s="106"/>
    <row r="474" ht="15.75" customHeight="1" s="106"/>
    <row r="475" ht="15.75" customHeight="1" s="106"/>
    <row r="476" ht="15.75" customHeight="1" s="106"/>
    <row r="477" ht="15.75" customHeight="1" s="106"/>
    <row r="478" ht="15.75" customHeight="1" s="106"/>
    <row r="479" ht="15.75" customHeight="1" s="106"/>
    <row r="480" ht="15.75" customHeight="1" s="106"/>
    <row r="481" ht="15.75" customHeight="1" s="106"/>
    <row r="482" ht="15.75" customHeight="1" s="106"/>
    <row r="483" ht="15.75" customHeight="1" s="106"/>
    <row r="484" ht="15.75" customHeight="1" s="106"/>
    <row r="485" ht="15.75" customHeight="1" s="106"/>
    <row r="486" ht="15.75" customHeight="1" s="106"/>
    <row r="487" ht="15.75" customHeight="1" s="106"/>
    <row r="488" ht="15.75" customHeight="1" s="106"/>
    <row r="489" ht="15.75" customHeight="1" s="106"/>
    <row r="490" ht="15.75" customHeight="1" s="106"/>
    <row r="491" ht="15.75" customHeight="1" s="106"/>
    <row r="492" ht="15.75" customHeight="1" s="106"/>
    <row r="493" ht="15.75" customHeight="1" s="106"/>
    <row r="494" ht="15.75" customHeight="1" s="106"/>
    <row r="495" ht="15.75" customHeight="1" s="106"/>
    <row r="496" ht="15.75" customHeight="1" s="106"/>
    <row r="497" ht="15.75" customHeight="1" s="106"/>
    <row r="498" ht="15.75" customHeight="1" s="106"/>
    <row r="499" ht="15.75" customHeight="1" s="106"/>
    <row r="500" ht="15.75" customHeight="1" s="106"/>
    <row r="501" ht="15.75" customHeight="1" s="106"/>
    <row r="502" ht="15.75" customHeight="1" s="106"/>
    <row r="503" ht="15.75" customHeight="1" s="106"/>
    <row r="504" ht="15.75" customHeight="1" s="106"/>
    <row r="505" ht="15.75" customHeight="1" s="106"/>
    <row r="506" ht="15.75" customHeight="1" s="106"/>
    <row r="507" ht="15.75" customHeight="1" s="106"/>
    <row r="508" ht="15.75" customHeight="1" s="106"/>
    <row r="509" ht="15.75" customHeight="1" s="106"/>
    <row r="510" ht="15.75" customHeight="1" s="106"/>
    <row r="511" ht="15.75" customHeight="1" s="106"/>
    <row r="512" ht="15.75" customHeight="1" s="106"/>
    <row r="513" ht="15.75" customHeight="1" s="106"/>
    <row r="514" ht="15.75" customHeight="1" s="106"/>
    <row r="515" ht="15.75" customHeight="1" s="106"/>
    <row r="516" ht="15.75" customHeight="1" s="106"/>
    <row r="517" ht="15.75" customHeight="1" s="106"/>
    <row r="518" ht="15.75" customHeight="1" s="106"/>
    <row r="519" ht="15.75" customHeight="1" s="106"/>
    <row r="520" ht="15.75" customHeight="1" s="106"/>
    <row r="521" ht="15.75" customHeight="1" s="106"/>
    <row r="522" ht="15.75" customHeight="1" s="106"/>
    <row r="523" ht="15.75" customHeight="1" s="106"/>
    <row r="524" ht="15.75" customHeight="1" s="106"/>
    <row r="525" ht="15.75" customHeight="1" s="106"/>
    <row r="526" ht="15.75" customHeight="1" s="106"/>
    <row r="527" ht="15.75" customHeight="1" s="106"/>
    <row r="528" ht="15.75" customHeight="1" s="106"/>
    <row r="529" ht="15.75" customHeight="1" s="106"/>
    <row r="530" ht="15.75" customHeight="1" s="106"/>
    <row r="531" ht="15.75" customHeight="1" s="106"/>
    <row r="532" ht="15.75" customHeight="1" s="106"/>
    <row r="533" ht="15.75" customHeight="1" s="106"/>
    <row r="534" ht="15.75" customHeight="1" s="106"/>
    <row r="535" ht="15.75" customHeight="1" s="106"/>
    <row r="536" ht="15.75" customHeight="1" s="106"/>
    <row r="537" ht="15.75" customHeight="1" s="106"/>
    <row r="538" ht="15.75" customHeight="1" s="106"/>
    <row r="539" ht="15.75" customHeight="1" s="106"/>
    <row r="540" ht="15.75" customHeight="1" s="106"/>
    <row r="541" ht="15.75" customHeight="1" s="106"/>
    <row r="542" ht="15.75" customHeight="1" s="106"/>
    <row r="543" ht="15.75" customHeight="1" s="106"/>
    <row r="544" ht="15.75" customHeight="1" s="106"/>
    <row r="545" ht="15.75" customHeight="1" s="106"/>
    <row r="546" ht="15.75" customHeight="1" s="106"/>
    <row r="547" ht="15.75" customHeight="1" s="106"/>
    <row r="548" ht="15.75" customHeight="1" s="106"/>
    <row r="549" ht="15.75" customHeight="1" s="106"/>
    <row r="550" ht="15.75" customHeight="1" s="106"/>
    <row r="551" ht="15.75" customHeight="1" s="106"/>
    <row r="552" ht="15.75" customHeight="1" s="106"/>
    <row r="553" ht="15.75" customHeight="1" s="106"/>
    <row r="554" ht="15.75" customHeight="1" s="106"/>
    <row r="555" ht="15.75" customHeight="1" s="106"/>
    <row r="556" ht="15.75" customHeight="1" s="106"/>
    <row r="557" ht="15.75" customHeight="1" s="106"/>
    <row r="558" ht="15.75" customHeight="1" s="106"/>
    <row r="559" ht="15.75" customHeight="1" s="106"/>
    <row r="560" ht="15.75" customHeight="1" s="106"/>
    <row r="561" ht="15.75" customHeight="1" s="106"/>
    <row r="562" ht="15.75" customHeight="1" s="106"/>
    <row r="563" ht="15.75" customHeight="1" s="106"/>
    <row r="564" ht="15.75" customHeight="1" s="106"/>
    <row r="565" ht="15.75" customHeight="1" s="106"/>
    <row r="566" ht="15.75" customHeight="1" s="106"/>
    <row r="567" ht="15.75" customHeight="1" s="106"/>
    <row r="568" ht="15.75" customHeight="1" s="106"/>
    <row r="569" ht="15.75" customHeight="1" s="106"/>
    <row r="570" ht="15.75" customHeight="1" s="106"/>
    <row r="571" ht="15.75" customHeight="1" s="106"/>
    <row r="572" ht="15.75" customHeight="1" s="106"/>
    <row r="573" ht="15.75" customHeight="1" s="106"/>
    <row r="574" ht="15.75" customHeight="1" s="106"/>
    <row r="575" ht="15.75" customHeight="1" s="106"/>
    <row r="576" ht="15.75" customHeight="1" s="106"/>
    <row r="577" ht="15.75" customHeight="1" s="106"/>
    <row r="578" ht="15.75" customHeight="1" s="106"/>
    <row r="579" ht="15.75" customHeight="1" s="106"/>
    <row r="580" ht="15.75" customHeight="1" s="106"/>
    <row r="581" ht="15.75" customHeight="1" s="106"/>
    <row r="582" ht="15.75" customHeight="1" s="106"/>
    <row r="583" ht="15.75" customHeight="1" s="106"/>
    <row r="584" ht="15.75" customHeight="1" s="106"/>
    <row r="585" ht="15.75" customHeight="1" s="106"/>
    <row r="586" ht="15.75" customHeight="1" s="106"/>
    <row r="587" ht="15.75" customHeight="1" s="106"/>
    <row r="588" ht="15.75" customHeight="1" s="106"/>
    <row r="589" ht="15.75" customHeight="1" s="106"/>
    <row r="590" ht="15.75" customHeight="1" s="106"/>
    <row r="591" ht="15.75" customHeight="1" s="106"/>
    <row r="592" ht="15.75" customHeight="1" s="106"/>
    <row r="593" ht="15.75" customHeight="1" s="106"/>
    <row r="594" ht="15.75" customHeight="1" s="106"/>
    <row r="595" ht="15.75" customHeight="1" s="106"/>
    <row r="596" ht="15.75" customHeight="1" s="106"/>
    <row r="597" ht="15.75" customHeight="1" s="106"/>
    <row r="598" ht="15.75" customHeight="1" s="106"/>
    <row r="599" ht="15.75" customHeight="1" s="106"/>
    <row r="600" ht="15.75" customHeight="1" s="106"/>
    <row r="601" ht="15.75" customHeight="1" s="106"/>
    <row r="602" ht="15.75" customHeight="1" s="106"/>
    <row r="603" ht="15.75" customHeight="1" s="106"/>
    <row r="604" ht="15.75" customHeight="1" s="106"/>
    <row r="605" ht="15.75" customHeight="1" s="106"/>
    <row r="606" ht="15.75" customHeight="1" s="106"/>
    <row r="607" ht="15.75" customHeight="1" s="106"/>
    <row r="608" ht="15.75" customHeight="1" s="106"/>
    <row r="609" ht="15.75" customHeight="1" s="106"/>
    <row r="610" ht="15.75" customHeight="1" s="106"/>
    <row r="611" ht="15.75" customHeight="1" s="106"/>
    <row r="612" ht="15.75" customHeight="1" s="106"/>
    <row r="613" ht="15.75" customHeight="1" s="106"/>
    <row r="614" ht="15.75" customHeight="1" s="106"/>
    <row r="615" ht="15.75" customHeight="1" s="106"/>
    <row r="616" ht="15.75" customHeight="1" s="106"/>
    <row r="617" ht="15.75" customHeight="1" s="106"/>
    <row r="618" ht="15.75" customHeight="1" s="106"/>
    <row r="619" ht="15.75" customHeight="1" s="106"/>
    <row r="620" ht="15.75" customHeight="1" s="106"/>
    <row r="621" ht="15.75" customHeight="1" s="106"/>
    <row r="622" ht="15.75" customHeight="1" s="106"/>
    <row r="623" ht="15.75" customHeight="1" s="106"/>
    <row r="624" ht="15.75" customHeight="1" s="106"/>
    <row r="625" ht="15.75" customHeight="1" s="106"/>
    <row r="626" ht="15.75" customHeight="1" s="106"/>
    <row r="627" ht="15.75" customHeight="1" s="106"/>
    <row r="628" ht="15.75" customHeight="1" s="106"/>
    <row r="629" ht="15.75" customHeight="1" s="106"/>
    <row r="630" ht="15.75" customHeight="1" s="106"/>
    <row r="631" ht="15.75" customHeight="1" s="106"/>
    <row r="632" ht="15.75" customHeight="1" s="106"/>
    <row r="633" ht="15.75" customHeight="1" s="106"/>
    <row r="634" ht="15.75" customHeight="1" s="106"/>
    <row r="635" ht="15.75" customHeight="1" s="106"/>
    <row r="636" ht="15.75" customHeight="1" s="106"/>
    <row r="637" ht="15.75" customHeight="1" s="106"/>
    <row r="638" ht="15.75" customHeight="1" s="106"/>
    <row r="639" ht="15.75" customHeight="1" s="106"/>
    <row r="640" ht="15.75" customHeight="1" s="106"/>
    <row r="641" ht="15.75" customHeight="1" s="106"/>
    <row r="642" ht="15.75" customHeight="1" s="106"/>
    <row r="643" ht="15.75" customHeight="1" s="106"/>
    <row r="644" ht="15.75" customHeight="1" s="106"/>
    <row r="645" ht="15.75" customHeight="1" s="106"/>
    <row r="646" ht="15.75" customHeight="1" s="106"/>
    <row r="647" ht="15.75" customHeight="1" s="106"/>
    <row r="648" ht="15.75" customHeight="1" s="106"/>
    <row r="649" ht="15.75" customHeight="1" s="106"/>
    <row r="650" ht="15.75" customHeight="1" s="106"/>
    <row r="651" ht="15.75" customHeight="1" s="106"/>
    <row r="652" ht="15.75" customHeight="1" s="106"/>
    <row r="653" ht="15.75" customHeight="1" s="106"/>
    <row r="654" ht="15.75" customHeight="1" s="106"/>
    <row r="655" ht="15.75" customHeight="1" s="106"/>
    <row r="656" ht="15.75" customHeight="1" s="106"/>
    <row r="657" ht="15.75" customHeight="1" s="106"/>
    <row r="658" ht="15.75" customHeight="1" s="106"/>
    <row r="659" ht="15.75" customHeight="1" s="106"/>
    <row r="660" ht="15.75" customHeight="1" s="106"/>
    <row r="661" ht="15.75" customHeight="1" s="106"/>
    <row r="662" ht="15.75" customHeight="1" s="106"/>
    <row r="663" ht="15.75" customHeight="1" s="106"/>
    <row r="664" ht="15.75" customHeight="1" s="106"/>
    <row r="665" ht="15.75" customHeight="1" s="106"/>
    <row r="666" ht="15.75" customHeight="1" s="106"/>
    <row r="667" ht="15.75" customHeight="1" s="106"/>
    <row r="668" ht="15.75" customHeight="1" s="106"/>
    <row r="669" ht="15.75" customHeight="1" s="106"/>
    <row r="670" ht="15.75" customHeight="1" s="106"/>
    <row r="671" ht="15.75" customHeight="1" s="106"/>
    <row r="672" ht="15.75" customHeight="1" s="106"/>
    <row r="673" ht="15.75" customHeight="1" s="106"/>
    <row r="674" ht="15.75" customHeight="1" s="106"/>
    <row r="675" ht="15.75" customHeight="1" s="106"/>
    <row r="676" ht="15.75" customHeight="1" s="106"/>
    <row r="677" ht="15.75" customHeight="1" s="106"/>
    <row r="678" ht="15.75" customHeight="1" s="106"/>
    <row r="679" ht="15.75" customHeight="1" s="106"/>
    <row r="680" ht="15.75" customHeight="1" s="106"/>
    <row r="681" ht="15.75" customHeight="1" s="106"/>
    <row r="682" ht="15.75" customHeight="1" s="106"/>
    <row r="683" ht="15.75" customHeight="1" s="106"/>
    <row r="684" ht="15.75" customHeight="1" s="106"/>
    <row r="685" ht="15.75" customHeight="1" s="106"/>
    <row r="686" ht="15.75" customHeight="1" s="106"/>
    <row r="687" ht="15.75" customHeight="1" s="106"/>
    <row r="688" ht="15.75" customHeight="1" s="106"/>
    <row r="689" ht="15.75" customHeight="1" s="106"/>
    <row r="690" ht="15.75" customHeight="1" s="106"/>
    <row r="691" ht="15.75" customHeight="1" s="106"/>
    <row r="692" ht="15.75" customHeight="1" s="106"/>
    <row r="693" ht="15.75" customHeight="1" s="106"/>
    <row r="694" ht="15.75" customHeight="1" s="106"/>
    <row r="695" ht="15.75" customHeight="1" s="106"/>
    <row r="696" ht="15.75" customHeight="1" s="106"/>
    <row r="697" ht="15.75" customHeight="1" s="106"/>
    <row r="698" ht="15.75" customHeight="1" s="106"/>
    <row r="699" ht="15.75" customHeight="1" s="106"/>
    <row r="700" ht="15.75" customHeight="1" s="106"/>
    <row r="701" ht="15.75" customHeight="1" s="106"/>
    <row r="702" ht="15.75" customHeight="1" s="106"/>
    <row r="703" ht="15.75" customHeight="1" s="106"/>
    <row r="704" ht="15.75" customHeight="1" s="106"/>
    <row r="705" ht="15.75" customHeight="1" s="106"/>
    <row r="706" ht="15.75" customHeight="1" s="106"/>
    <row r="707" ht="15.75" customHeight="1" s="106"/>
    <row r="708" ht="15.75" customHeight="1" s="106"/>
    <row r="709" ht="15.75" customHeight="1" s="106"/>
    <row r="710" ht="15.75" customHeight="1" s="106"/>
    <row r="711" ht="15.75" customHeight="1" s="106"/>
    <row r="712" ht="15.75" customHeight="1" s="106"/>
    <row r="713" ht="15.75" customHeight="1" s="106"/>
    <row r="714" ht="15.75" customHeight="1" s="106"/>
    <row r="715" ht="15.75" customHeight="1" s="106"/>
    <row r="716" ht="15.75" customHeight="1" s="106"/>
    <row r="717" ht="15.75" customHeight="1" s="106"/>
    <row r="718" ht="15.75" customHeight="1" s="106"/>
    <row r="719" ht="15.75" customHeight="1" s="106"/>
    <row r="720" ht="15.75" customHeight="1" s="106"/>
    <row r="721" ht="15.75" customHeight="1" s="106"/>
    <row r="722" ht="15.75" customHeight="1" s="106"/>
    <row r="723" ht="15.75" customHeight="1" s="106"/>
    <row r="724" ht="15.75" customHeight="1" s="106"/>
    <row r="725" ht="15.75" customHeight="1" s="106"/>
    <row r="726" ht="15.75" customHeight="1" s="106"/>
    <row r="727" ht="15.75" customHeight="1" s="106"/>
    <row r="728" ht="15.75" customHeight="1" s="106"/>
    <row r="729" ht="15.75" customHeight="1" s="106"/>
    <row r="730" ht="15.75" customHeight="1" s="106"/>
    <row r="731" ht="15.75" customHeight="1" s="106"/>
    <row r="732" ht="15.75" customHeight="1" s="106"/>
    <row r="733" ht="15.75" customHeight="1" s="106"/>
    <row r="734" ht="15.75" customHeight="1" s="106"/>
    <row r="735" ht="15.75" customHeight="1" s="106"/>
    <row r="736" ht="15.75" customHeight="1" s="106"/>
    <row r="737" ht="15.75" customHeight="1" s="106"/>
    <row r="738" ht="15.75" customHeight="1" s="106"/>
    <row r="739" ht="15.75" customHeight="1" s="106"/>
    <row r="740" ht="15.75" customHeight="1" s="106"/>
    <row r="741" ht="15.75" customHeight="1" s="106"/>
    <row r="742" ht="15.75" customHeight="1" s="106"/>
    <row r="743" ht="15.75" customHeight="1" s="106"/>
    <row r="744" ht="15.75" customHeight="1" s="106"/>
    <row r="745" ht="15.75" customHeight="1" s="106"/>
    <row r="746" ht="15.75" customHeight="1" s="106"/>
    <row r="747" ht="15.75" customHeight="1" s="106"/>
    <row r="748" ht="15.75" customHeight="1" s="106"/>
    <row r="749" ht="15.75" customHeight="1" s="106"/>
    <row r="750" ht="15.75" customHeight="1" s="106"/>
    <row r="751" ht="15.75" customHeight="1" s="106"/>
    <row r="752" ht="15.75" customHeight="1" s="106"/>
    <row r="753" ht="15.75" customHeight="1" s="106"/>
    <row r="754" ht="15.75" customHeight="1" s="106"/>
    <row r="755" ht="15.75" customHeight="1" s="106"/>
    <row r="756" ht="15.75" customHeight="1" s="106"/>
    <row r="757" ht="15.75" customHeight="1" s="106"/>
    <row r="758" ht="15.75" customHeight="1" s="106"/>
    <row r="759" ht="15.75" customHeight="1" s="106"/>
    <row r="760" ht="15.75" customHeight="1" s="106"/>
    <row r="761" ht="15.75" customHeight="1" s="106"/>
    <row r="762" ht="15.75" customHeight="1" s="106"/>
    <row r="763" ht="15.75" customHeight="1" s="106"/>
    <row r="764" ht="15.75" customHeight="1" s="106"/>
    <row r="765" ht="15.75" customHeight="1" s="106"/>
    <row r="766" ht="15.75" customHeight="1" s="106"/>
    <row r="767" ht="15.75" customHeight="1" s="106"/>
    <row r="768" ht="15.75" customHeight="1" s="106"/>
    <row r="769" ht="15.75" customHeight="1" s="106"/>
    <row r="770" ht="15.75" customHeight="1" s="106"/>
    <row r="771" ht="15.75" customHeight="1" s="106"/>
    <row r="772" ht="15.75" customHeight="1" s="106"/>
    <row r="773" ht="15.75" customHeight="1" s="106"/>
    <row r="774" ht="15.75" customHeight="1" s="106"/>
    <row r="775" ht="15.75" customHeight="1" s="106"/>
    <row r="776" ht="15.75" customHeight="1" s="106"/>
    <row r="777" ht="15.75" customHeight="1" s="106"/>
    <row r="778" ht="15.75" customHeight="1" s="106"/>
    <row r="779" ht="15.75" customHeight="1" s="106"/>
    <row r="780" ht="15.75" customHeight="1" s="106"/>
    <row r="781" ht="15.75" customHeight="1" s="106"/>
    <row r="782" ht="15.75" customHeight="1" s="106"/>
    <row r="783" ht="15.75" customHeight="1" s="106"/>
    <row r="784" ht="15.75" customHeight="1" s="106"/>
    <row r="785" ht="15.75" customHeight="1" s="106"/>
    <row r="786" ht="15.75" customHeight="1" s="106"/>
    <row r="787" ht="15.75" customHeight="1" s="106"/>
    <row r="788" ht="15.75" customHeight="1" s="106"/>
    <row r="789" ht="15.75" customHeight="1" s="106"/>
    <row r="790" ht="15.75" customHeight="1" s="106"/>
    <row r="791" ht="15.75" customHeight="1" s="106"/>
    <row r="792" ht="15.75" customHeight="1" s="106"/>
    <row r="793" ht="15.75" customHeight="1" s="106"/>
    <row r="794" ht="15.75" customHeight="1" s="106"/>
    <row r="795" ht="15.75" customHeight="1" s="106"/>
    <row r="796" ht="15.75" customHeight="1" s="106"/>
    <row r="797" ht="15.75" customHeight="1" s="106"/>
    <row r="798" ht="15.75" customHeight="1" s="106"/>
    <row r="799" ht="15.75" customHeight="1" s="106"/>
    <row r="800" ht="15.75" customHeight="1" s="106"/>
    <row r="801" ht="15.75" customHeight="1" s="106"/>
    <row r="802" ht="15.75" customHeight="1" s="106"/>
    <row r="803" ht="15.75" customHeight="1" s="106"/>
    <row r="804" ht="15.75" customHeight="1" s="106"/>
    <row r="805" ht="15.75" customHeight="1" s="106"/>
    <row r="806" ht="15.75" customHeight="1" s="106"/>
    <row r="807" ht="15.75" customHeight="1" s="106"/>
    <row r="808" ht="15.75" customHeight="1" s="106"/>
    <row r="809" ht="15.75" customHeight="1" s="106"/>
    <row r="810" ht="15.75" customHeight="1" s="106"/>
    <row r="811" ht="15.75" customHeight="1" s="106"/>
    <row r="812" ht="15.75" customHeight="1" s="106"/>
    <row r="813" ht="15.75" customHeight="1" s="106"/>
    <row r="814" ht="15.75" customHeight="1" s="106"/>
    <row r="815" ht="15.75" customHeight="1" s="106"/>
    <row r="816" ht="15.75" customHeight="1" s="106"/>
    <row r="817" ht="15.75" customHeight="1" s="106"/>
    <row r="818" ht="15.75" customHeight="1" s="106"/>
    <row r="819" ht="15.75" customHeight="1" s="106"/>
    <row r="820" ht="15.75" customHeight="1" s="106"/>
    <row r="821" ht="15.75" customHeight="1" s="106"/>
    <row r="822" ht="15.75" customHeight="1" s="106"/>
    <row r="823" ht="15.75" customHeight="1" s="106"/>
    <row r="824" ht="15.75" customHeight="1" s="106"/>
    <row r="825" ht="15.75" customHeight="1" s="106"/>
    <row r="826" ht="15.75" customHeight="1" s="106"/>
    <row r="827" ht="15.75" customHeight="1" s="106"/>
    <row r="828" ht="15.75" customHeight="1" s="106"/>
    <row r="829" ht="15.75" customHeight="1" s="106"/>
    <row r="830" ht="15.75" customHeight="1" s="106"/>
    <row r="831" ht="15.75" customHeight="1" s="106"/>
    <row r="832" ht="15.75" customHeight="1" s="106"/>
    <row r="833" ht="15.75" customHeight="1" s="106"/>
    <row r="834" ht="15.75" customHeight="1" s="106"/>
    <row r="835" ht="15.75" customHeight="1" s="106"/>
    <row r="836" ht="15.75" customHeight="1" s="106"/>
    <row r="837" ht="15.75" customHeight="1" s="106"/>
    <row r="838" ht="15.75" customHeight="1" s="106"/>
    <row r="839" ht="15.75" customHeight="1" s="106"/>
    <row r="840" ht="15.75" customHeight="1" s="106"/>
    <row r="841" ht="15.75" customHeight="1" s="106"/>
    <row r="842" ht="15.75" customHeight="1" s="106"/>
    <row r="843" ht="15.75" customHeight="1" s="106"/>
    <row r="844" ht="15.75" customHeight="1" s="106"/>
    <row r="845" ht="15.75" customHeight="1" s="106"/>
    <row r="846" ht="15.75" customHeight="1" s="106"/>
    <row r="847" ht="15.75" customHeight="1" s="106"/>
    <row r="848" ht="15.75" customHeight="1" s="106"/>
    <row r="849" ht="15.75" customHeight="1" s="106"/>
    <row r="850" ht="15.75" customHeight="1" s="106"/>
    <row r="851" ht="15.75" customHeight="1" s="106"/>
    <row r="852" ht="15.75" customHeight="1" s="106"/>
    <row r="853" ht="15.75" customHeight="1" s="106"/>
    <row r="854" ht="15.75" customHeight="1" s="106"/>
    <row r="855" ht="15.75" customHeight="1" s="106"/>
    <row r="856" ht="15.75" customHeight="1" s="106"/>
    <row r="857" ht="15.75" customHeight="1" s="106"/>
    <row r="858" ht="15.75" customHeight="1" s="106"/>
    <row r="859" ht="15.75" customHeight="1" s="106"/>
    <row r="860" ht="15.75" customHeight="1" s="106"/>
    <row r="861" ht="15.75" customHeight="1" s="106"/>
    <row r="862" ht="15.75" customHeight="1" s="106"/>
    <row r="863" ht="15.75" customHeight="1" s="106"/>
    <row r="864" ht="15.75" customHeight="1" s="106"/>
    <row r="865" ht="15.75" customHeight="1" s="106"/>
    <row r="866" ht="15.75" customHeight="1" s="106"/>
    <row r="867" ht="15.75" customHeight="1" s="106"/>
    <row r="868" ht="15.75" customHeight="1" s="106"/>
    <row r="869" ht="15.75" customHeight="1" s="106"/>
    <row r="870" ht="15.75" customHeight="1" s="106"/>
    <row r="871" ht="15.75" customHeight="1" s="106"/>
    <row r="872" ht="15.75" customHeight="1" s="106"/>
    <row r="873" ht="15.75" customHeight="1" s="106"/>
    <row r="874" ht="15.75" customHeight="1" s="106"/>
    <row r="875" ht="15.75" customHeight="1" s="106"/>
    <row r="876" ht="15.75" customHeight="1" s="106"/>
    <row r="877" ht="15.75" customHeight="1" s="106"/>
    <row r="878" ht="15.75" customHeight="1" s="106"/>
    <row r="879" ht="15.75" customHeight="1" s="106"/>
    <row r="880" ht="15.75" customHeight="1" s="106"/>
    <row r="881" ht="15.75" customHeight="1" s="106"/>
    <row r="882" ht="15.75" customHeight="1" s="106"/>
    <row r="883" ht="15.75" customHeight="1" s="106"/>
    <row r="884" ht="15.75" customHeight="1" s="106"/>
    <row r="885" ht="15.75" customHeight="1" s="106"/>
    <row r="886" ht="15.75" customHeight="1" s="106"/>
    <row r="887" ht="15.75" customHeight="1" s="106"/>
    <row r="888" ht="15.75" customHeight="1" s="106"/>
    <row r="889" ht="15.75" customHeight="1" s="106"/>
    <row r="890" ht="15.75" customHeight="1" s="106"/>
    <row r="891" ht="15.75" customHeight="1" s="106"/>
    <row r="892" ht="15.75" customHeight="1" s="106"/>
    <row r="893" ht="15.75" customHeight="1" s="106"/>
    <row r="894" ht="15.75" customHeight="1" s="106"/>
    <row r="895" ht="15.75" customHeight="1" s="106"/>
    <row r="896" ht="15.75" customHeight="1" s="106"/>
    <row r="897" ht="15.75" customHeight="1" s="106"/>
    <row r="898" ht="15.75" customHeight="1" s="106"/>
    <row r="899" ht="15.75" customHeight="1" s="106"/>
    <row r="900" ht="15.75" customHeight="1" s="106"/>
    <row r="901" ht="15.75" customHeight="1" s="106"/>
    <row r="902" ht="15.75" customHeight="1" s="106"/>
    <row r="903" ht="15.75" customHeight="1" s="106"/>
    <row r="904" ht="15.75" customHeight="1" s="106"/>
    <row r="905" ht="15.75" customHeight="1" s="106"/>
    <row r="906" ht="15.75" customHeight="1" s="106"/>
    <row r="907" ht="15.75" customHeight="1" s="106"/>
    <row r="908" ht="15.75" customHeight="1" s="106"/>
    <row r="909" ht="15.75" customHeight="1" s="106"/>
    <row r="910" ht="15.75" customHeight="1" s="106"/>
    <row r="911" ht="15.75" customHeight="1" s="106"/>
    <row r="912" ht="15.75" customHeight="1" s="106"/>
    <row r="913" ht="15.75" customHeight="1" s="106"/>
    <row r="914" ht="15.75" customHeight="1" s="106"/>
    <row r="915" ht="15.75" customHeight="1" s="106"/>
    <row r="916" ht="15.75" customHeight="1" s="106"/>
    <row r="917" ht="15.75" customHeight="1" s="106"/>
    <row r="918" ht="15.75" customHeight="1" s="106"/>
    <row r="919" ht="15.75" customHeight="1" s="106"/>
    <row r="920" ht="15.75" customHeight="1" s="106"/>
    <row r="921" ht="15.75" customHeight="1" s="106"/>
    <row r="922" ht="15.75" customHeight="1" s="106"/>
    <row r="923" ht="15.75" customHeight="1" s="106"/>
    <row r="924" ht="15.75" customHeight="1" s="106"/>
    <row r="925" ht="15.75" customHeight="1" s="106"/>
    <row r="926" ht="15.75" customHeight="1" s="106"/>
    <row r="927" ht="15.75" customHeight="1" s="106"/>
    <row r="928" ht="15.75" customHeight="1" s="106"/>
    <row r="929" ht="15.75" customHeight="1" s="106"/>
    <row r="930" ht="15.75" customHeight="1" s="106"/>
    <row r="931" ht="15.75" customHeight="1" s="106"/>
    <row r="932" ht="15.75" customHeight="1" s="106"/>
    <row r="933" ht="15.75" customHeight="1" s="106"/>
    <row r="934" ht="15.75" customHeight="1" s="106"/>
    <row r="935" ht="15.75" customHeight="1" s="106"/>
    <row r="936" ht="15.75" customHeight="1" s="106"/>
    <row r="937" ht="15.75" customHeight="1" s="106"/>
    <row r="938" ht="15.75" customHeight="1" s="106"/>
    <row r="939" ht="15.75" customHeight="1" s="106"/>
    <row r="940" ht="15.75" customHeight="1" s="106"/>
    <row r="941" ht="15.75" customHeight="1" s="106"/>
    <row r="942" ht="15.75" customHeight="1" s="106"/>
    <row r="943" ht="15.75" customHeight="1" s="106"/>
    <row r="944" ht="15.75" customHeight="1" s="106"/>
    <row r="945" ht="15.75" customHeight="1" s="106"/>
    <row r="946" ht="15.75" customHeight="1" s="106"/>
    <row r="947" ht="15.75" customHeight="1" s="106"/>
    <row r="948" ht="15.75" customHeight="1" s="106"/>
    <row r="949" ht="15.75" customHeight="1" s="106"/>
    <row r="950" ht="15.75" customHeight="1" s="106"/>
    <row r="951" ht="15.75" customHeight="1" s="106"/>
    <row r="952" ht="15.75" customHeight="1" s="106"/>
    <row r="953" ht="15.75" customHeight="1" s="106"/>
    <row r="954" ht="15.75" customHeight="1" s="106"/>
    <row r="955" ht="15.75" customHeight="1" s="106"/>
    <row r="956" ht="15.75" customHeight="1" s="106"/>
    <row r="957" ht="15.75" customHeight="1" s="106"/>
    <row r="958" ht="15.75" customHeight="1" s="106"/>
    <row r="959" ht="15.75" customHeight="1" s="106"/>
    <row r="960" ht="15.75" customHeight="1" s="106"/>
    <row r="961" ht="15.75" customHeight="1" s="106"/>
    <row r="962" ht="15.75" customHeight="1" s="106"/>
    <row r="963" ht="15.75" customHeight="1" s="106"/>
    <row r="964" ht="15.75" customHeight="1" s="106"/>
    <row r="965" ht="15.75" customHeight="1" s="106"/>
    <row r="966" ht="15.75" customHeight="1" s="106"/>
    <row r="967" ht="15.75" customHeight="1" s="106"/>
    <row r="968" ht="15.75" customHeight="1" s="106"/>
    <row r="969" ht="15.75" customHeight="1" s="106"/>
    <row r="970" ht="15.75" customHeight="1" s="106"/>
    <row r="971" ht="15.75" customHeight="1" s="106"/>
    <row r="972" ht="15.75" customHeight="1" s="106"/>
    <row r="973" ht="15.75" customHeight="1" s="106"/>
    <row r="974" ht="15.75" customHeight="1" s="106"/>
    <row r="975" ht="15.75" customHeight="1" s="106"/>
    <row r="976" ht="15.75" customHeight="1" s="106"/>
    <row r="977" ht="15.75" customHeight="1" s="106"/>
    <row r="978" ht="15.75" customHeight="1" s="106"/>
    <row r="979" ht="15.75" customHeight="1" s="106"/>
    <row r="980" ht="15.75" customHeight="1" s="106"/>
    <row r="981" ht="15.75" customHeight="1" s="106"/>
    <row r="982" ht="15.75" customHeight="1" s="106"/>
    <row r="983" ht="15.75" customHeight="1" s="106"/>
    <row r="984" ht="15.75" customHeight="1" s="106"/>
    <row r="985" ht="15.75" customHeight="1" s="106"/>
    <row r="986" ht="15.75" customHeight="1" s="106"/>
    <row r="987" ht="15.75" customHeight="1" s="106"/>
    <row r="988" ht="15.75" customHeight="1" s="106"/>
    <row r="989" ht="15.75" customHeight="1" s="106"/>
    <row r="990" ht="15.75" customHeight="1" s="106"/>
    <row r="991" ht="15.75" customHeight="1" s="106"/>
    <row r="992" ht="15.75" customHeight="1" s="106"/>
    <row r="993" ht="15.75" customHeight="1" s="106"/>
    <row r="994" ht="15.75" customHeight="1" s="106"/>
    <row r="995" ht="15.75" customHeight="1" s="106"/>
    <row r="996" ht="15.75" customHeight="1" s="106"/>
    <row r="997" ht="15.75" customHeight="1" s="106"/>
    <row r="998" ht="15.75" customHeight="1" s="106"/>
    <row r="999" ht="15.75" customHeight="1" s="106"/>
    <row r="1000" ht="15.75" customHeight="1" s="106"/>
  </sheetData>
  <mergeCells count="50">
    <mergeCell ref="C34:D34"/>
    <mergeCell ref="B7:F7"/>
    <mergeCell ref="C30:D30"/>
    <mergeCell ref="C39:F39"/>
    <mergeCell ref="B3:C3"/>
    <mergeCell ref="E14:F21"/>
    <mergeCell ref="B59:C59"/>
    <mergeCell ref="B22:F22"/>
    <mergeCell ref="B14:C21"/>
    <mergeCell ref="B56:C56"/>
    <mergeCell ref="D53:F53"/>
    <mergeCell ref="C37:F37"/>
    <mergeCell ref="B27:F27"/>
    <mergeCell ref="B58:C58"/>
    <mergeCell ref="B12:C12"/>
    <mergeCell ref="C10:D10"/>
    <mergeCell ref="D12:F12"/>
    <mergeCell ref="D58:F58"/>
    <mergeCell ref="D56:F56"/>
    <mergeCell ref="B60:C60"/>
    <mergeCell ref="E13:F13"/>
    <mergeCell ref="C33:F33"/>
    <mergeCell ref="B61:F61"/>
    <mergeCell ref="C9:D9"/>
    <mergeCell ref="B43:D44"/>
    <mergeCell ref="B57:C57"/>
    <mergeCell ref="B4:F5"/>
    <mergeCell ref="B53:C53"/>
    <mergeCell ref="B13:C13"/>
    <mergeCell ref="B29:F29"/>
    <mergeCell ref="D14:D21"/>
    <mergeCell ref="C35:F35"/>
    <mergeCell ref="B25:F26"/>
    <mergeCell ref="C36:D36"/>
    <mergeCell ref="E43:F44"/>
    <mergeCell ref="D57:F57"/>
    <mergeCell ref="D59:F59"/>
    <mergeCell ref="B47:D47"/>
    <mergeCell ref="B1:E1"/>
    <mergeCell ref="C31:F31"/>
    <mergeCell ref="B6:F6"/>
    <mergeCell ref="B24:F24"/>
    <mergeCell ref="C32:D32"/>
    <mergeCell ref="C38:D38"/>
    <mergeCell ref="B55:F55"/>
    <mergeCell ref="B51:C51"/>
    <mergeCell ref="B52:D52"/>
    <mergeCell ref="E3:F3"/>
    <mergeCell ref="B50:F50"/>
    <mergeCell ref="B48:D48"/>
  </mergeCells>
  <conditionalFormatting sqref="F41">
    <cfRule type="expression" priority="1" dxfId="0">
      <formula>$F$41="OK"</formula>
    </cfRule>
    <cfRule type="expression" priority="2" dxfId="2">
      <formula>$F$41&lt;&gt;"OK"</formula>
    </cfRule>
  </conditionalFormatting>
  <conditionalFormatting sqref="F45">
    <cfRule type="expression" priority="3" dxfId="0">
      <formula>$F$45="сходится"</formula>
    </cfRule>
    <cfRule type="expression" priority="4" dxfId="2">
      <formula>$F$45="расходится"</formula>
    </cfRule>
  </conditionalFormatting>
  <pageMargins left="0.35" right="0.35" top="0.35" bottom="0.35" header="0" footer="0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50"/>
  <sheetViews>
    <sheetView workbookViewId="0">
      <selection activeCell="A1" sqref="A1"/>
    </sheetView>
  </sheetViews>
  <sheetFormatPr baseColWidth="8" defaultColWidth="14.43" defaultRowHeight="15" customHeight="1" outlineLevelCol="0"/>
  <cols>
    <col width="3" customWidth="1" style="106" min="1" max="1"/>
    <col width="48" customWidth="1" style="106" min="2" max="2"/>
    <col width="42" customWidth="1" style="106" min="3" max="3"/>
    <col width="28" customWidth="1" style="106" min="4" max="4"/>
    <col width="12" customWidth="1" style="106" min="5" max="6"/>
    <col width="8.710000000000001" customWidth="1" style="106" min="7" max="26"/>
  </cols>
  <sheetData>
    <row r="2">
      <c r="B2" s="1" t="inlineStr">
        <is>
          <t>ПАРАМЕТРЫ РАСЧЁТА</t>
        </is>
      </c>
    </row>
    <row r="3">
      <c r="B3" s="3" t="inlineStr">
        <is>
          <t>Меняйте только жёлтые ячейки. Все калькуляции подтягивают значения отсюда.</t>
        </is>
      </c>
    </row>
    <row r="5">
      <c r="B5" s="5" t="inlineStr">
        <is>
          <t>Параметр</t>
        </is>
      </c>
      <c r="C5" s="5" t="inlineStr">
        <is>
          <t>Значение</t>
        </is>
      </c>
      <c r="D5" s="5" t="inlineStr">
        <is>
          <t>Комментарий</t>
        </is>
      </c>
    </row>
    <row r="6">
      <c r="B6" s="9" t="inlineStr">
        <is>
          <t>Наценка менеджера на закупки</t>
        </is>
      </c>
      <c r="C6" s="90" t="n">
        <v>0.15</v>
      </c>
      <c r="D6" s="91" t="inlineStr">
        <is>
          <t>От цены поставщика. Ваша прибыль как менеджера.</t>
        </is>
      </c>
    </row>
    <row r="7">
      <c r="B7" s="9" t="inlineStr">
        <is>
          <t>Целевая маржа проекта (от выручки)</t>
        </is>
      </c>
      <c r="C7" s="90" t="n">
        <v>0.2</v>
      </c>
      <c r="D7" s="91" t="inlineStr">
        <is>
          <t>Чистая маржа после НПД. Диапазон обычно 10%…30%+.</t>
        </is>
      </c>
    </row>
    <row r="8">
      <c r="B8" s="9" t="inlineStr">
        <is>
          <t>Минимальная допустимая маржа</t>
        </is>
      </c>
      <c r="C8" s="90" t="n">
        <v>0.1</v>
      </c>
      <c r="D8" s="91" t="inlineStr">
        <is>
          <t>Ниже — статус «НИЖЕ МИНИМУМА».</t>
        </is>
      </c>
    </row>
    <row r="9">
      <c r="B9" s="9" t="inlineStr">
        <is>
          <t>Налог НПД (самозанятость)</t>
        </is>
      </c>
      <c r="C9" s="90" t="n">
        <v>0.04</v>
      </c>
      <c r="D9" s="91" t="inlineStr">
        <is>
          <t>4% — физлица, 6% — юрлица/ИП.</t>
        </is>
      </c>
    </row>
    <row r="10">
      <c r="B10" s="9" t="inlineStr">
        <is>
          <t>Аренда, ₽ / рабочий день</t>
        </is>
      </c>
      <c r="C10" s="92" t="n">
        <v>2000</v>
      </c>
      <c r="D10" s="91" t="inlineStr">
        <is>
          <t>Ставка аренды цеха на рабочий день.</t>
        </is>
      </c>
    </row>
    <row r="11">
      <c r="B11" s="9" t="inlineStr">
        <is>
          <t>Рабочих дней в месяце</t>
        </is>
      </c>
      <c r="C11" s="92" t="n">
        <v>22</v>
      </c>
      <c r="D11" s="91" t="inlineStr">
        <is>
          <t>Справочно для пересчёта постоянных расходов.</t>
        </is>
      </c>
    </row>
    <row r="12">
      <c r="B12" s="9" t="inlineStr">
        <is>
          <t>Агентские, % от цены КП</t>
        </is>
      </c>
      <c r="C12" s="90" t="n">
        <v>0</v>
      </c>
      <c r="D12" s="91" t="inlineStr">
        <is>
          <t>Если есть посредник — поставьте %, иначе 0.</t>
        </is>
      </c>
    </row>
    <row r="14">
      <c r="B14" s="93" t="inlineStr">
        <is>
          <t>Авто-коэффициенты</t>
        </is>
      </c>
    </row>
    <row r="15">
      <c r="B15" s="9" t="inlineStr">
        <is>
          <t>Множитель цены при целевой марже</t>
        </is>
      </c>
      <c r="C15" s="94">
        <f>1/(1-C9-C7-C12)</f>
        <v/>
      </c>
      <c r="D15" s="91" t="inlineStr">
        <is>
          <t>Цена КП ≈ Себестоимость × коэффициент</t>
        </is>
      </c>
    </row>
    <row r="16">
      <c r="B16" s="9" t="inlineStr">
        <is>
          <t>Множитель цены при минимальной марже</t>
        </is>
      </c>
      <c r="C16" s="94">
        <f>1/(1-C9-C8-C12)</f>
        <v/>
      </c>
      <c r="D16" s="91" t="n"/>
    </row>
    <row r="18">
      <c r="B18" s="93" t="inlineStr">
        <is>
          <t>БРЕНД И КОНТАКТЫ ДЛЯ КП</t>
        </is>
      </c>
    </row>
    <row r="19">
      <c r="B19" s="9" t="inlineStr">
        <is>
          <t>Имя в шапке КП</t>
        </is>
      </c>
      <c r="C19" s="112" t="inlineStr">
        <is>
          <t>Илай Саматов</t>
        </is>
      </c>
      <c r="D19" s="108" t="n"/>
    </row>
    <row r="20">
      <c r="B20" s="9" t="inlineStr">
        <is>
          <t>Подзаголовок</t>
        </is>
      </c>
      <c r="C20" s="112" t="inlineStr">
        <is>
          <t>Дизайн / Проектирование / Производство</t>
        </is>
      </c>
      <c r="D20" s="108" t="n"/>
    </row>
    <row r="21" ht="15.75" customHeight="1" s="106">
      <c r="B21" s="9" t="inlineStr">
        <is>
          <t>ФИО полностью</t>
        </is>
      </c>
      <c r="C21" s="112" t="inlineStr">
        <is>
          <t>Самозанятый Саматов Илай Валерьевич</t>
        </is>
      </c>
      <c r="D21" s="108" t="n"/>
    </row>
    <row r="22" ht="15.75" customHeight="1" s="106">
      <c r="B22" s="9" t="inlineStr">
        <is>
          <t>Телефон</t>
        </is>
      </c>
      <c r="C22" s="112" t="inlineStr">
        <is>
          <t>+7 (952) 058-92-78</t>
        </is>
      </c>
      <c r="D22" s="108" t="n"/>
    </row>
    <row r="23" ht="15.75" customHeight="1" s="106">
      <c r="B23" s="9" t="inlineStr">
        <is>
          <t>Сайт</t>
        </is>
      </c>
      <c r="C23" s="112" t="inlineStr">
        <is>
          <t>Cenzyk.art</t>
        </is>
      </c>
      <c r="D23" s="108" t="n"/>
    </row>
    <row r="24" ht="15.75" customHeight="1" s="106">
      <c r="B24" s="9" t="inlineStr">
        <is>
          <t>Email</t>
        </is>
      </c>
      <c r="C24" s="112" t="inlineStr">
        <is>
          <t>ilja.samatov@yandex.ru</t>
        </is>
      </c>
      <c r="D24" s="108" t="n"/>
    </row>
    <row r="25" ht="15.75" customHeight="1" s="106">
      <c r="B25" s="9" t="inlineStr">
        <is>
          <t>Адрес</t>
        </is>
      </c>
      <c r="C25" s="112" t="inlineStr">
        <is>
          <t>г. Калининград, ул. Ручейная, 2а</t>
        </is>
      </c>
      <c r="D25" s="108" t="n"/>
    </row>
    <row r="26" ht="15.75" customHeight="1" s="106">
      <c r="B26" s="9" t="inlineStr">
        <is>
          <t>График Пн–Пт</t>
        </is>
      </c>
      <c r="C26" s="112" t="inlineStr">
        <is>
          <t>9:00-17:00</t>
        </is>
      </c>
      <c r="D26" s="108" t="n"/>
    </row>
    <row r="27" ht="15.75" customHeight="1" s="106">
      <c r="B27" s="9" t="inlineStr">
        <is>
          <t>График Сб</t>
        </is>
      </c>
      <c r="C27" s="112" t="inlineStr">
        <is>
          <t>10:00-14:00</t>
        </is>
      </c>
      <c r="D27" s="108" t="n"/>
    </row>
    <row r="28" ht="15.75" customHeight="1" s="106">
      <c r="B28" s="9" t="inlineStr">
        <is>
          <t>График Вс</t>
        </is>
      </c>
      <c r="C28" s="112" t="inlineStr">
        <is>
          <t>выходной</t>
        </is>
      </c>
      <c r="D28" s="108" t="n"/>
    </row>
    <row r="29" ht="15.75" customHeight="1" s="106">
      <c r="B29" s="9" t="inlineStr">
        <is>
          <t>Стаж</t>
        </is>
      </c>
      <c r="C29" s="112" t="inlineStr">
        <is>
          <t>11 лет</t>
        </is>
      </c>
      <c r="D29" s="108" t="n"/>
    </row>
    <row r="30" ht="15.75" customHeight="1" s="106">
      <c r="B30" s="9" t="inlineStr">
        <is>
          <t>Профиль (текст)</t>
        </is>
      </c>
      <c r="C30" s="112" t="inlineStr">
        <is>
          <t>Изделия из металла под ключ: балконы, заборы, лестницы, мебель.</t>
        </is>
      </c>
      <c r="D30" s="108" t="n"/>
    </row>
    <row r="31" ht="15.75" customHeight="1" s="106">
      <c r="B31" s="9" t="inlineStr">
        <is>
          <t>Срок действия КП, дней</t>
        </is>
      </c>
      <c r="C31" s="112" t="n">
        <v>10</v>
      </c>
      <c r="D31" s="108" t="n"/>
    </row>
    <row r="32" ht="15.75" customHeight="1" s="106"/>
    <row r="33" ht="15.75" customHeight="1" s="106">
      <c r="B33" s="93" t="inlineStr">
        <is>
          <t>Тип изделия (список для шапки)</t>
        </is>
      </c>
    </row>
    <row r="34" ht="15.75" customHeight="1" s="106">
      <c r="B34" s="9" t="inlineStr">
        <is>
          <t>Ворота</t>
        </is>
      </c>
    </row>
    <row r="35" ht="15.75" customHeight="1" s="106">
      <c r="B35" s="9" t="inlineStr">
        <is>
          <t>Забор</t>
        </is>
      </c>
    </row>
    <row r="36" ht="15.75" customHeight="1" s="106">
      <c r="B36" s="9" t="inlineStr">
        <is>
          <t>Лестница</t>
        </is>
      </c>
    </row>
    <row r="37" ht="15.75" customHeight="1" s="106">
      <c r="B37" s="9" t="inlineStr">
        <is>
          <t>Мебель</t>
        </is>
      </c>
    </row>
    <row r="38" ht="15.75" customHeight="1" s="106">
      <c r="B38" s="9" t="inlineStr">
        <is>
          <t>Интерьер</t>
        </is>
      </c>
    </row>
    <row r="39" ht="15.75" customHeight="1" s="106">
      <c r="B39" s="9" t="inlineStr">
        <is>
          <t>Экстерьер</t>
        </is>
      </c>
    </row>
    <row r="40" ht="15.75" customHeight="1" s="106">
      <c r="B40" s="9" t="inlineStr">
        <is>
          <t>Сувенир</t>
        </is>
      </c>
    </row>
    <row r="41" ht="15.75" customHeight="1" s="106">
      <c r="B41" s="9" t="inlineStr">
        <is>
          <t>Прочее</t>
        </is>
      </c>
    </row>
    <row r="42" ht="15.75" customHeight="1" s="106"/>
    <row r="43" ht="15.75" customHeight="1" s="106">
      <c r="B43" s="93" t="inlineStr">
        <is>
          <t>Правило маржи</t>
        </is>
      </c>
    </row>
    <row r="44" ht="109.5" customHeight="1" s="106">
      <c r="B44" s="144" t="inlineStr">
        <is>
          <t>Себестоимость C = реальные выплаты (материалы по цене поставщика, труд, транспорт, аренда, расходники, субподряд).
Наценка менеджера = % только на тип «закупка» — это часть вашей прибыли, не расход.
Цена для целевой маржи P = C / (1 − НПД% − целевая маржа% − агентские%).
Прибыль = P − C − P×НПД − P×агентские.  Маржа % = Прибыль / P.
В листе «Предложение» варианты СЗ 4%/6% считаются как Итого×1.04 / Итого×1.06 — как в вашем PDF.
КАССА — опциональный учёт денег после сделки, на цену КП не влияет.</t>
        </is>
      </c>
    </row>
    <row r="45" ht="15.75" customHeight="1" s="106"/>
    <row r="46" ht="15.75" customHeight="1" s="106"/>
    <row r="47" ht="15.75" customHeight="1" s="106"/>
    <row r="48" ht="15.75" customHeight="1" s="106"/>
    <row r="49" ht="15.75" customHeight="1" s="106"/>
    <row r="50" ht="15.75" customHeight="1" s="106"/>
    <row r="51" ht="15.75" customHeight="1" s="106"/>
    <row r="52" ht="15.75" customHeight="1" s="106"/>
    <row r="53" ht="15.75" customHeight="1" s="106"/>
    <row r="54" ht="15.75" customHeight="1" s="106"/>
    <row r="55" ht="15.75" customHeight="1" s="106"/>
    <row r="56" ht="15.75" customHeight="1" s="106"/>
    <row r="57" ht="15.75" customHeight="1" s="106"/>
    <row r="58" ht="15.75" customHeight="1" s="106"/>
    <row r="59" ht="15.75" customHeight="1" s="106"/>
    <row r="60" ht="15.75" customHeight="1" s="106"/>
    <row r="61" ht="15.75" customHeight="1" s="106"/>
    <row r="62" ht="15.75" customHeight="1" s="106"/>
    <row r="63" ht="15.75" customHeight="1" s="106"/>
    <row r="64" ht="15.75" customHeight="1" s="106"/>
    <row r="65" ht="15.75" customHeight="1" s="106"/>
    <row r="66" ht="15.75" customHeight="1" s="106"/>
    <row r="67" ht="15.75" customHeight="1" s="106"/>
    <row r="68" ht="15.75" customHeight="1" s="106"/>
    <row r="69" ht="15.75" customHeight="1" s="106"/>
    <row r="70" ht="15.75" customHeight="1" s="106"/>
    <row r="71" ht="15.75" customHeight="1" s="106"/>
    <row r="72" ht="15.75" customHeight="1" s="106"/>
    <row r="73" ht="15.75" customHeight="1" s="106"/>
    <row r="74" ht="15.75" customHeight="1" s="106"/>
    <row r="75" ht="15.75" customHeight="1" s="106"/>
    <row r="76" ht="15.75" customHeight="1" s="106"/>
    <row r="77" ht="15.75" customHeight="1" s="106"/>
    <row r="78" ht="15.75" customHeight="1" s="106"/>
    <row r="79" ht="15.75" customHeight="1" s="106"/>
    <row r="80" ht="15.75" customHeight="1" s="106"/>
    <row r="81" ht="15.75" customHeight="1" s="106"/>
    <row r="82" ht="15.75" customHeight="1" s="106"/>
    <row r="83" ht="15.75" customHeight="1" s="106"/>
    <row r="84" ht="15.75" customHeight="1" s="106"/>
    <row r="85" ht="15.75" customHeight="1" s="106"/>
    <row r="86" ht="15.75" customHeight="1" s="106"/>
    <row r="87" ht="15.75" customHeight="1" s="106"/>
    <row r="88" ht="15.75" customHeight="1" s="106"/>
    <row r="89" ht="15.75" customHeight="1" s="106"/>
    <row r="90" ht="15.75" customHeight="1" s="106"/>
    <row r="91" ht="15.75" customHeight="1" s="106"/>
    <row r="92" ht="15.75" customHeight="1" s="106"/>
    <row r="93" ht="15.75" customHeight="1" s="106"/>
    <row r="94" ht="15.75" customHeight="1" s="106"/>
    <row r="95" ht="15.75" customHeight="1" s="106"/>
    <row r="96" ht="15.75" customHeight="1" s="106"/>
    <row r="97" ht="15.75" customHeight="1" s="106"/>
    <row r="98" ht="15.75" customHeight="1" s="106"/>
    <row r="99" ht="15.75" customHeight="1" s="106"/>
    <row r="100" ht="15.75" customHeight="1" s="106"/>
    <row r="101" ht="15.75" customHeight="1" s="106"/>
    <row r="102" ht="15.75" customHeight="1" s="106"/>
    <row r="103" ht="15.75" customHeight="1" s="106"/>
    <row r="104" ht="15.75" customHeight="1" s="106"/>
    <row r="105" ht="15.75" customHeight="1" s="106"/>
    <row r="106" ht="15.75" customHeight="1" s="106"/>
    <row r="107" ht="15.75" customHeight="1" s="106"/>
    <row r="108" ht="15.75" customHeight="1" s="106"/>
    <row r="109" ht="15.75" customHeight="1" s="106"/>
    <row r="110" ht="15.75" customHeight="1" s="106"/>
    <row r="111" ht="15.75" customHeight="1" s="106"/>
    <row r="112" ht="15.75" customHeight="1" s="106"/>
    <row r="113" ht="15.75" customHeight="1" s="106"/>
    <row r="114" ht="15.75" customHeight="1" s="106"/>
    <row r="115" ht="15.75" customHeight="1" s="106"/>
    <row r="116" ht="15.75" customHeight="1" s="106"/>
    <row r="117" ht="15.75" customHeight="1" s="106"/>
    <row r="118" ht="15.75" customHeight="1" s="106"/>
    <row r="119" ht="15.75" customHeight="1" s="106"/>
    <row r="120" ht="15.75" customHeight="1" s="106"/>
    <row r="121" ht="15.75" customHeight="1" s="106"/>
    <row r="122" ht="15.75" customHeight="1" s="106"/>
    <row r="123" ht="15.75" customHeight="1" s="106"/>
    <row r="124" ht="15.75" customHeight="1" s="106"/>
    <row r="125" ht="15.75" customHeight="1" s="106"/>
    <row r="126" ht="15.75" customHeight="1" s="106"/>
    <row r="127" ht="15.75" customHeight="1" s="106"/>
    <row r="128" ht="15.75" customHeight="1" s="106"/>
    <row r="129" ht="15.75" customHeight="1" s="106"/>
    <row r="130" ht="15.75" customHeight="1" s="106"/>
    <row r="131" ht="15.75" customHeight="1" s="106"/>
    <row r="132" ht="15.75" customHeight="1" s="106"/>
    <row r="133" ht="15.75" customHeight="1" s="106"/>
    <row r="134" ht="15.75" customHeight="1" s="106"/>
    <row r="135" ht="15.75" customHeight="1" s="106"/>
    <row r="136" ht="15.75" customHeight="1" s="106"/>
    <row r="137" ht="15.75" customHeight="1" s="106"/>
    <row r="138" ht="15.75" customHeight="1" s="106"/>
    <row r="139" ht="15.75" customHeight="1" s="106"/>
    <row r="140" ht="15.75" customHeight="1" s="106"/>
    <row r="141" ht="15.75" customHeight="1" s="106"/>
    <row r="142" ht="15.75" customHeight="1" s="106"/>
    <row r="143" ht="15.75" customHeight="1" s="106"/>
    <row r="144" ht="15.75" customHeight="1" s="106"/>
    <row r="145" ht="15.75" customHeight="1" s="106"/>
    <row r="146" ht="15.75" customHeight="1" s="106"/>
    <row r="147" ht="15.75" customHeight="1" s="106"/>
    <row r="148" ht="15.75" customHeight="1" s="106"/>
    <row r="149" ht="15.75" customHeight="1" s="106"/>
    <row r="150" ht="15.75" customHeight="1" s="106"/>
    <row r="151" ht="15.75" customHeight="1" s="106"/>
    <row r="152" ht="15.75" customHeight="1" s="106"/>
    <row r="153" ht="15.75" customHeight="1" s="106"/>
    <row r="154" ht="15.75" customHeight="1" s="106"/>
    <row r="155" ht="15.75" customHeight="1" s="106"/>
    <row r="156" ht="15.75" customHeight="1" s="106"/>
    <row r="157" ht="15.75" customHeight="1" s="106"/>
    <row r="158" ht="15.75" customHeight="1" s="106"/>
    <row r="159" ht="15.75" customHeight="1" s="106"/>
    <row r="160" ht="15.75" customHeight="1" s="106"/>
    <row r="161" ht="15.75" customHeight="1" s="106"/>
    <row r="162" ht="15.75" customHeight="1" s="106"/>
    <row r="163" ht="15.75" customHeight="1" s="106"/>
    <row r="164" ht="15.75" customHeight="1" s="106"/>
    <row r="165" ht="15.75" customHeight="1" s="106"/>
    <row r="166" ht="15.75" customHeight="1" s="106"/>
    <row r="167" ht="15.75" customHeight="1" s="106"/>
    <row r="168" ht="15.75" customHeight="1" s="106"/>
    <row r="169" ht="15.75" customHeight="1" s="106"/>
    <row r="170" ht="15.75" customHeight="1" s="106"/>
    <row r="171" ht="15.75" customHeight="1" s="106"/>
    <row r="172" ht="15.75" customHeight="1" s="106"/>
    <row r="173" ht="15.75" customHeight="1" s="106"/>
    <row r="174" ht="15.75" customHeight="1" s="106"/>
    <row r="175" ht="15.75" customHeight="1" s="106"/>
    <row r="176" ht="15.75" customHeight="1" s="106"/>
    <row r="177" ht="15.75" customHeight="1" s="106"/>
    <row r="178" ht="15.75" customHeight="1" s="106"/>
    <row r="179" ht="15.75" customHeight="1" s="106"/>
    <row r="180" ht="15.75" customHeight="1" s="106"/>
    <row r="181" ht="15.75" customHeight="1" s="106"/>
    <row r="182" ht="15.75" customHeight="1" s="106"/>
    <row r="183" ht="15.75" customHeight="1" s="106"/>
    <row r="184" ht="15.75" customHeight="1" s="106"/>
    <row r="185" ht="15.75" customHeight="1" s="106"/>
    <row r="186" ht="15.75" customHeight="1" s="106"/>
    <row r="187" ht="15.75" customHeight="1" s="106"/>
    <row r="188" ht="15.75" customHeight="1" s="106"/>
    <row r="189" ht="15.75" customHeight="1" s="106"/>
    <row r="190" ht="15.75" customHeight="1" s="106"/>
    <row r="191" ht="15.75" customHeight="1" s="106"/>
    <row r="192" ht="15.75" customHeight="1" s="106"/>
    <row r="193" ht="15.75" customHeight="1" s="106"/>
    <row r="194" ht="15.75" customHeight="1" s="106"/>
    <row r="195" ht="15.75" customHeight="1" s="106"/>
    <row r="196" ht="15.75" customHeight="1" s="106"/>
    <row r="197" ht="15.75" customHeight="1" s="106"/>
    <row r="198" ht="15.75" customHeight="1" s="106"/>
    <row r="199" ht="15.75" customHeight="1" s="106"/>
    <row r="200" ht="15.75" customHeight="1" s="106"/>
    <row r="201" ht="15.75" customHeight="1" s="106"/>
    <row r="202" ht="15.75" customHeight="1" s="106"/>
    <row r="203" ht="15.75" customHeight="1" s="106"/>
    <row r="204" ht="15.75" customHeight="1" s="106"/>
    <row r="205" ht="15.75" customHeight="1" s="106"/>
    <row r="206" ht="15.75" customHeight="1" s="106"/>
    <row r="207" ht="15.75" customHeight="1" s="106"/>
    <row r="208" ht="15.75" customHeight="1" s="106"/>
    <row r="209" ht="15.75" customHeight="1" s="106"/>
    <row r="210" ht="15.75" customHeight="1" s="106"/>
    <row r="211" ht="15.75" customHeight="1" s="106"/>
    <row r="212" ht="15.75" customHeight="1" s="106"/>
    <row r="213" ht="15.75" customHeight="1" s="106"/>
    <row r="214" ht="15.75" customHeight="1" s="106"/>
    <row r="215" ht="15.75" customHeight="1" s="106"/>
    <row r="216" ht="15.75" customHeight="1" s="106"/>
    <row r="217" ht="15.75" customHeight="1" s="106"/>
    <row r="218" ht="15.75" customHeight="1" s="106"/>
    <row r="219" ht="15.75" customHeight="1" s="106"/>
    <row r="220" ht="15.75" customHeight="1" s="106"/>
    <row r="221" ht="15.75" customHeight="1" s="106"/>
    <row r="222" ht="15.75" customHeight="1" s="106"/>
    <row r="223" ht="15.75" customHeight="1" s="106"/>
    <row r="224" ht="15.75" customHeight="1" s="106"/>
    <row r="225" ht="15.75" customHeight="1" s="106"/>
    <row r="226" ht="15.75" customHeight="1" s="106"/>
    <row r="227" ht="15.75" customHeight="1" s="106"/>
    <row r="228" ht="15.75" customHeight="1" s="106"/>
    <row r="229" ht="15.75" customHeight="1" s="106"/>
    <row r="230" ht="15.75" customHeight="1" s="106"/>
    <row r="231" ht="15.75" customHeight="1" s="106"/>
    <row r="232" ht="15.75" customHeight="1" s="106"/>
    <row r="233" ht="15.75" customHeight="1" s="106"/>
    <row r="234" ht="15.75" customHeight="1" s="106"/>
    <row r="235" ht="15.75" customHeight="1" s="106"/>
    <row r="236" ht="15.75" customHeight="1" s="106"/>
    <row r="237" ht="15.75" customHeight="1" s="106"/>
    <row r="238" ht="15.75" customHeight="1" s="106"/>
    <row r="239" ht="15.75" customHeight="1" s="106"/>
    <row r="240" ht="15.75" customHeight="1" s="106"/>
    <row r="241" ht="15.75" customHeight="1" s="106"/>
    <row r="242" ht="15.75" customHeight="1" s="106"/>
    <row r="243" ht="15.75" customHeight="1" s="106"/>
    <row r="244" ht="15.75" customHeight="1" s="106"/>
    <row r="245" ht="15.75" customHeight="1" s="106"/>
    <row r="246" ht="15.75" customHeight="1" s="106"/>
    <row r="247" ht="15.75" customHeight="1" s="106"/>
    <row r="248" ht="15.75" customHeight="1" s="106"/>
    <row r="249" ht="15.75" customHeight="1" s="106"/>
    <row r="250" ht="15.75" customHeight="1" s="106"/>
    <row r="251" ht="15.75" customHeight="1" s="106"/>
    <row r="252" ht="15.75" customHeight="1" s="106"/>
    <row r="253" ht="15.75" customHeight="1" s="106"/>
    <row r="254" ht="15.75" customHeight="1" s="106"/>
    <row r="255" ht="15.75" customHeight="1" s="106"/>
    <row r="256" ht="15.75" customHeight="1" s="106"/>
    <row r="257" ht="15.75" customHeight="1" s="106"/>
    <row r="258" ht="15.75" customHeight="1" s="106"/>
    <row r="259" ht="15.75" customHeight="1" s="106"/>
    <row r="260" ht="15.75" customHeight="1" s="106"/>
    <row r="261" ht="15.75" customHeight="1" s="106"/>
    <row r="262" ht="15.75" customHeight="1" s="106"/>
    <row r="263" ht="15.75" customHeight="1" s="106"/>
    <row r="264" ht="15.75" customHeight="1" s="106"/>
    <row r="265" ht="15.75" customHeight="1" s="106"/>
    <row r="266" ht="15.75" customHeight="1" s="106"/>
    <row r="267" ht="15.75" customHeight="1" s="106"/>
    <row r="268" ht="15.75" customHeight="1" s="106"/>
    <row r="269" ht="15.75" customHeight="1" s="106"/>
    <row r="270" ht="15.75" customHeight="1" s="106"/>
    <row r="271" ht="15.75" customHeight="1" s="106"/>
    <row r="272" ht="15.75" customHeight="1" s="106"/>
    <row r="273" ht="15.75" customHeight="1" s="106"/>
    <row r="274" ht="15.75" customHeight="1" s="106"/>
    <row r="275" ht="15.75" customHeight="1" s="106"/>
    <row r="276" ht="15.75" customHeight="1" s="106"/>
    <row r="277" ht="15.75" customHeight="1" s="106"/>
    <row r="278" ht="15.75" customHeight="1" s="106"/>
    <row r="279" ht="15.75" customHeight="1" s="106"/>
    <row r="280" ht="15.75" customHeight="1" s="106"/>
    <row r="281" ht="15.75" customHeight="1" s="106"/>
    <row r="282" ht="15.75" customHeight="1" s="106"/>
    <row r="283" ht="15.75" customHeight="1" s="106"/>
    <row r="284" ht="15.75" customHeight="1" s="106"/>
    <row r="285" ht="15.75" customHeight="1" s="106"/>
    <row r="286" ht="15.75" customHeight="1" s="106"/>
    <row r="287" ht="15.75" customHeight="1" s="106"/>
    <row r="288" ht="15.75" customHeight="1" s="106"/>
    <row r="289" ht="15.75" customHeight="1" s="106"/>
    <row r="290" ht="15.75" customHeight="1" s="106"/>
    <row r="291" ht="15.75" customHeight="1" s="106"/>
    <row r="292" ht="15.75" customHeight="1" s="106"/>
    <row r="293" ht="15.75" customHeight="1" s="106"/>
    <row r="294" ht="15.75" customHeight="1" s="106"/>
    <row r="295" ht="15.75" customHeight="1" s="106"/>
    <row r="296" ht="15.75" customHeight="1" s="106"/>
    <row r="297" ht="15.75" customHeight="1" s="106"/>
    <row r="298" ht="15.75" customHeight="1" s="106"/>
    <row r="299" ht="15.75" customHeight="1" s="106"/>
    <row r="300" ht="15.75" customHeight="1" s="106"/>
    <row r="301" ht="15.75" customHeight="1" s="106"/>
    <row r="302" ht="15.75" customHeight="1" s="106"/>
    <row r="303" ht="15.75" customHeight="1" s="106"/>
    <row r="304" ht="15.75" customHeight="1" s="106"/>
    <row r="305" ht="15.75" customHeight="1" s="106"/>
    <row r="306" ht="15.75" customHeight="1" s="106"/>
    <row r="307" ht="15.75" customHeight="1" s="106"/>
    <row r="308" ht="15.75" customHeight="1" s="106"/>
    <row r="309" ht="15.75" customHeight="1" s="106"/>
    <row r="310" ht="15.75" customHeight="1" s="106"/>
    <row r="311" ht="15.75" customHeight="1" s="106"/>
    <row r="312" ht="15.75" customHeight="1" s="106"/>
    <row r="313" ht="15.75" customHeight="1" s="106"/>
    <row r="314" ht="15.75" customHeight="1" s="106"/>
    <row r="315" ht="15.75" customHeight="1" s="106"/>
    <row r="316" ht="15.75" customHeight="1" s="106"/>
    <row r="317" ht="15.75" customHeight="1" s="106"/>
    <row r="318" ht="15.75" customHeight="1" s="106"/>
    <row r="319" ht="15.75" customHeight="1" s="106"/>
    <row r="320" ht="15.75" customHeight="1" s="106"/>
    <row r="321" ht="15.75" customHeight="1" s="106"/>
    <row r="322" ht="15.75" customHeight="1" s="106"/>
    <row r="323" ht="15.75" customHeight="1" s="106"/>
    <row r="324" ht="15.75" customHeight="1" s="106"/>
    <row r="325" ht="15.75" customHeight="1" s="106"/>
    <row r="326" ht="15.75" customHeight="1" s="106"/>
    <row r="327" ht="15.75" customHeight="1" s="106"/>
    <row r="328" ht="15.75" customHeight="1" s="106"/>
    <row r="329" ht="15.75" customHeight="1" s="106"/>
    <row r="330" ht="15.75" customHeight="1" s="106"/>
    <row r="331" ht="15.75" customHeight="1" s="106"/>
    <row r="332" ht="15.75" customHeight="1" s="106"/>
    <row r="333" ht="15.75" customHeight="1" s="106"/>
    <row r="334" ht="15.75" customHeight="1" s="106"/>
    <row r="335" ht="15.75" customHeight="1" s="106"/>
    <row r="336" ht="15.75" customHeight="1" s="106"/>
    <row r="337" ht="15.75" customHeight="1" s="106"/>
    <row r="338" ht="15.75" customHeight="1" s="106"/>
    <row r="339" ht="15.75" customHeight="1" s="106"/>
    <row r="340" ht="15.75" customHeight="1" s="106"/>
    <row r="341" ht="15.75" customHeight="1" s="106"/>
    <row r="342" ht="15.75" customHeight="1" s="106"/>
    <row r="343" ht="15.75" customHeight="1" s="106"/>
    <row r="344" ht="15.75" customHeight="1" s="106"/>
    <row r="345" ht="15.75" customHeight="1" s="106"/>
    <row r="346" ht="15.75" customHeight="1" s="106"/>
    <row r="347" ht="15.75" customHeight="1" s="106"/>
    <row r="348" ht="15.75" customHeight="1" s="106"/>
    <row r="349" ht="15.75" customHeight="1" s="106"/>
    <row r="350" ht="15.75" customHeight="1" s="106"/>
    <row r="351" ht="15.75" customHeight="1" s="106"/>
    <row r="352" ht="15.75" customHeight="1" s="106"/>
    <row r="353" ht="15.75" customHeight="1" s="106"/>
    <row r="354" ht="15.75" customHeight="1" s="106"/>
    <row r="355" ht="15.75" customHeight="1" s="106"/>
    <row r="356" ht="15.75" customHeight="1" s="106"/>
    <row r="357" ht="15.75" customHeight="1" s="106"/>
    <row r="358" ht="15.75" customHeight="1" s="106"/>
    <row r="359" ht="15.75" customHeight="1" s="106"/>
    <row r="360" ht="15.75" customHeight="1" s="106"/>
    <row r="361" ht="15.75" customHeight="1" s="106"/>
    <row r="362" ht="15.75" customHeight="1" s="106"/>
    <row r="363" ht="15.75" customHeight="1" s="106"/>
    <row r="364" ht="15.75" customHeight="1" s="106"/>
    <row r="365" ht="15.75" customHeight="1" s="106"/>
    <row r="366" ht="15.75" customHeight="1" s="106"/>
    <row r="367" ht="15.75" customHeight="1" s="106"/>
    <row r="368" ht="15.75" customHeight="1" s="106"/>
    <row r="369" ht="15.75" customHeight="1" s="106"/>
    <row r="370" ht="15.75" customHeight="1" s="106"/>
    <row r="371" ht="15.75" customHeight="1" s="106"/>
    <row r="372" ht="15.75" customHeight="1" s="106"/>
    <row r="373" ht="15.75" customHeight="1" s="106"/>
    <row r="374" ht="15.75" customHeight="1" s="106"/>
    <row r="375" ht="15.75" customHeight="1" s="106"/>
    <row r="376" ht="15.75" customHeight="1" s="106"/>
    <row r="377" ht="15.75" customHeight="1" s="106"/>
    <row r="378" ht="15.75" customHeight="1" s="106"/>
    <row r="379" ht="15.75" customHeight="1" s="106"/>
    <row r="380" ht="15.75" customHeight="1" s="106"/>
    <row r="381" ht="15.75" customHeight="1" s="106"/>
    <row r="382" ht="15.75" customHeight="1" s="106"/>
    <row r="383" ht="15.75" customHeight="1" s="106"/>
    <row r="384" ht="15.75" customHeight="1" s="106"/>
    <row r="385" ht="15.75" customHeight="1" s="106"/>
    <row r="386" ht="15.75" customHeight="1" s="106"/>
    <row r="387" ht="15.75" customHeight="1" s="106"/>
    <row r="388" ht="15.75" customHeight="1" s="106"/>
    <row r="389" ht="15.75" customHeight="1" s="106"/>
    <row r="390" ht="15.75" customHeight="1" s="106"/>
    <row r="391" ht="15.75" customHeight="1" s="106"/>
    <row r="392" ht="15.75" customHeight="1" s="106"/>
    <row r="393" ht="15.75" customHeight="1" s="106"/>
    <row r="394" ht="15.75" customHeight="1" s="106"/>
    <row r="395" ht="15.75" customHeight="1" s="106"/>
    <row r="396" ht="15.75" customHeight="1" s="106"/>
    <row r="397" ht="15.75" customHeight="1" s="106"/>
    <row r="398" ht="15.75" customHeight="1" s="106"/>
    <row r="399" ht="15.75" customHeight="1" s="106"/>
    <row r="400" ht="15.75" customHeight="1" s="106"/>
    <row r="401" ht="15.75" customHeight="1" s="106"/>
    <row r="402" ht="15.75" customHeight="1" s="106"/>
    <row r="403" ht="15.75" customHeight="1" s="106"/>
    <row r="404" ht="15.75" customHeight="1" s="106"/>
    <row r="405" ht="15.75" customHeight="1" s="106"/>
    <row r="406" ht="15.75" customHeight="1" s="106"/>
    <row r="407" ht="15.75" customHeight="1" s="106"/>
    <row r="408" ht="15.75" customHeight="1" s="106"/>
    <row r="409" ht="15.75" customHeight="1" s="106"/>
    <row r="410" ht="15.75" customHeight="1" s="106"/>
    <row r="411" ht="15.75" customHeight="1" s="106"/>
    <row r="412" ht="15.75" customHeight="1" s="106"/>
    <row r="413" ht="15.75" customHeight="1" s="106"/>
    <row r="414" ht="15.75" customHeight="1" s="106"/>
    <row r="415" ht="15.75" customHeight="1" s="106"/>
    <row r="416" ht="15.75" customHeight="1" s="106"/>
    <row r="417" ht="15.75" customHeight="1" s="106"/>
    <row r="418" ht="15.75" customHeight="1" s="106"/>
    <row r="419" ht="15.75" customHeight="1" s="106"/>
    <row r="420" ht="15.75" customHeight="1" s="106"/>
    <row r="421" ht="15.75" customHeight="1" s="106"/>
    <row r="422" ht="15.75" customHeight="1" s="106"/>
    <row r="423" ht="15.75" customHeight="1" s="106"/>
    <row r="424" ht="15.75" customHeight="1" s="106"/>
    <row r="425" ht="15.75" customHeight="1" s="106"/>
    <row r="426" ht="15.75" customHeight="1" s="106"/>
    <row r="427" ht="15.75" customHeight="1" s="106"/>
    <row r="428" ht="15.75" customHeight="1" s="106"/>
    <row r="429" ht="15.75" customHeight="1" s="106"/>
    <row r="430" ht="15.75" customHeight="1" s="106"/>
    <row r="431" ht="15.75" customHeight="1" s="106"/>
    <row r="432" ht="15.75" customHeight="1" s="106"/>
    <row r="433" ht="15.75" customHeight="1" s="106"/>
    <row r="434" ht="15.75" customHeight="1" s="106"/>
    <row r="435" ht="15.75" customHeight="1" s="106"/>
    <row r="436" ht="15.75" customHeight="1" s="106"/>
    <row r="437" ht="15.75" customHeight="1" s="106"/>
    <row r="438" ht="15.75" customHeight="1" s="106"/>
    <row r="439" ht="15.75" customHeight="1" s="106"/>
    <row r="440" ht="15.75" customHeight="1" s="106"/>
    <row r="441" ht="15.75" customHeight="1" s="106"/>
    <row r="442" ht="15.75" customHeight="1" s="106"/>
    <row r="443" ht="15.75" customHeight="1" s="106"/>
    <row r="444" ht="15.75" customHeight="1" s="106"/>
    <row r="445" ht="15.75" customHeight="1" s="106"/>
    <row r="446" ht="15.75" customHeight="1" s="106"/>
    <row r="447" ht="15.75" customHeight="1" s="106"/>
    <row r="448" ht="15.75" customHeight="1" s="106"/>
    <row r="449" ht="15.75" customHeight="1" s="106"/>
    <row r="450" ht="15.75" customHeight="1" s="106"/>
    <row r="451" ht="15.75" customHeight="1" s="106"/>
    <row r="452" ht="15.75" customHeight="1" s="106"/>
    <row r="453" ht="15.75" customHeight="1" s="106"/>
    <row r="454" ht="15.75" customHeight="1" s="106"/>
    <row r="455" ht="15.75" customHeight="1" s="106"/>
    <row r="456" ht="15.75" customHeight="1" s="106"/>
    <row r="457" ht="15.75" customHeight="1" s="106"/>
    <row r="458" ht="15.75" customHeight="1" s="106"/>
    <row r="459" ht="15.75" customHeight="1" s="106"/>
    <row r="460" ht="15.75" customHeight="1" s="106"/>
    <row r="461" ht="15.75" customHeight="1" s="106"/>
    <row r="462" ht="15.75" customHeight="1" s="106"/>
    <row r="463" ht="15.75" customHeight="1" s="106"/>
    <row r="464" ht="15.75" customHeight="1" s="106"/>
    <row r="465" ht="15.75" customHeight="1" s="106"/>
    <row r="466" ht="15.75" customHeight="1" s="106"/>
    <row r="467" ht="15.75" customHeight="1" s="106"/>
    <row r="468" ht="15.75" customHeight="1" s="106"/>
    <row r="469" ht="15.75" customHeight="1" s="106"/>
    <row r="470" ht="15.75" customHeight="1" s="106"/>
    <row r="471" ht="15.75" customHeight="1" s="106"/>
    <row r="472" ht="15.75" customHeight="1" s="106"/>
    <row r="473" ht="15.75" customHeight="1" s="106"/>
    <row r="474" ht="15.75" customHeight="1" s="106"/>
    <row r="475" ht="15.75" customHeight="1" s="106"/>
    <row r="476" ht="15.75" customHeight="1" s="106"/>
    <row r="477" ht="15.75" customHeight="1" s="106"/>
    <row r="478" ht="15.75" customHeight="1" s="106"/>
    <row r="479" ht="15.75" customHeight="1" s="106"/>
    <row r="480" ht="15.75" customHeight="1" s="106"/>
    <row r="481" ht="15.75" customHeight="1" s="106"/>
    <row r="482" ht="15.75" customHeight="1" s="106"/>
    <row r="483" ht="15.75" customHeight="1" s="106"/>
    <row r="484" ht="15.75" customHeight="1" s="106"/>
    <row r="485" ht="15.75" customHeight="1" s="106"/>
    <row r="486" ht="15.75" customHeight="1" s="106"/>
    <row r="487" ht="15.75" customHeight="1" s="106"/>
    <row r="488" ht="15.75" customHeight="1" s="106"/>
    <row r="489" ht="15.75" customHeight="1" s="106"/>
    <row r="490" ht="15.75" customHeight="1" s="106"/>
    <row r="491" ht="15.75" customHeight="1" s="106"/>
    <row r="492" ht="15.75" customHeight="1" s="106"/>
    <row r="493" ht="15.75" customHeight="1" s="106"/>
    <row r="494" ht="15.75" customHeight="1" s="106"/>
    <row r="495" ht="15.75" customHeight="1" s="106"/>
    <row r="496" ht="15.75" customHeight="1" s="106"/>
    <row r="497" ht="15.75" customHeight="1" s="106"/>
    <row r="498" ht="15.75" customHeight="1" s="106"/>
    <row r="499" ht="15.75" customHeight="1" s="106"/>
    <row r="500" ht="15.75" customHeight="1" s="106"/>
    <row r="501" ht="15.75" customHeight="1" s="106"/>
    <row r="502" ht="15.75" customHeight="1" s="106"/>
    <row r="503" ht="15.75" customHeight="1" s="106"/>
    <row r="504" ht="15.75" customHeight="1" s="106"/>
    <row r="505" ht="15.75" customHeight="1" s="106"/>
    <row r="506" ht="15.75" customHeight="1" s="106"/>
    <row r="507" ht="15.75" customHeight="1" s="106"/>
    <row r="508" ht="15.75" customHeight="1" s="106"/>
    <row r="509" ht="15.75" customHeight="1" s="106"/>
    <row r="510" ht="15.75" customHeight="1" s="106"/>
    <row r="511" ht="15.75" customHeight="1" s="106"/>
    <row r="512" ht="15.75" customHeight="1" s="106"/>
    <row r="513" ht="15.75" customHeight="1" s="106"/>
    <row r="514" ht="15.75" customHeight="1" s="106"/>
    <row r="515" ht="15.75" customHeight="1" s="106"/>
    <row r="516" ht="15.75" customHeight="1" s="106"/>
    <row r="517" ht="15.75" customHeight="1" s="106"/>
    <row r="518" ht="15.75" customHeight="1" s="106"/>
    <row r="519" ht="15.75" customHeight="1" s="106"/>
    <row r="520" ht="15.75" customHeight="1" s="106"/>
    <row r="521" ht="15.75" customHeight="1" s="106"/>
    <row r="522" ht="15.75" customHeight="1" s="106"/>
    <row r="523" ht="15.75" customHeight="1" s="106"/>
    <row r="524" ht="15.75" customHeight="1" s="106"/>
    <row r="525" ht="15.75" customHeight="1" s="106"/>
    <row r="526" ht="15.75" customHeight="1" s="106"/>
    <row r="527" ht="15.75" customHeight="1" s="106"/>
    <row r="528" ht="15.75" customHeight="1" s="106"/>
    <row r="529" ht="15.75" customHeight="1" s="106"/>
    <row r="530" ht="15.75" customHeight="1" s="106"/>
    <row r="531" ht="15.75" customHeight="1" s="106"/>
    <row r="532" ht="15.75" customHeight="1" s="106"/>
    <row r="533" ht="15.75" customHeight="1" s="106"/>
    <row r="534" ht="15.75" customHeight="1" s="106"/>
    <row r="535" ht="15.75" customHeight="1" s="106"/>
    <row r="536" ht="15.75" customHeight="1" s="106"/>
    <row r="537" ht="15.75" customHeight="1" s="106"/>
    <row r="538" ht="15.75" customHeight="1" s="106"/>
    <row r="539" ht="15.75" customHeight="1" s="106"/>
    <row r="540" ht="15.75" customHeight="1" s="106"/>
    <row r="541" ht="15.75" customHeight="1" s="106"/>
    <row r="542" ht="15.75" customHeight="1" s="106"/>
    <row r="543" ht="15.75" customHeight="1" s="106"/>
    <row r="544" ht="15.75" customHeight="1" s="106"/>
    <row r="545" ht="15.75" customHeight="1" s="106"/>
    <row r="546" ht="15.75" customHeight="1" s="106"/>
    <row r="547" ht="15.75" customHeight="1" s="106"/>
    <row r="548" ht="15.75" customHeight="1" s="106"/>
    <row r="549" ht="15.75" customHeight="1" s="106"/>
    <row r="550" ht="15.75" customHeight="1" s="106"/>
    <row r="551" ht="15.75" customHeight="1" s="106"/>
    <row r="552" ht="15.75" customHeight="1" s="106"/>
    <row r="553" ht="15.75" customHeight="1" s="106"/>
    <row r="554" ht="15.75" customHeight="1" s="106"/>
    <row r="555" ht="15.75" customHeight="1" s="106"/>
    <row r="556" ht="15.75" customHeight="1" s="106"/>
    <row r="557" ht="15.75" customHeight="1" s="106"/>
    <row r="558" ht="15.75" customHeight="1" s="106"/>
    <row r="559" ht="15.75" customHeight="1" s="106"/>
    <row r="560" ht="15.75" customHeight="1" s="106"/>
    <row r="561" ht="15.75" customHeight="1" s="106"/>
    <row r="562" ht="15.75" customHeight="1" s="106"/>
    <row r="563" ht="15.75" customHeight="1" s="106"/>
    <row r="564" ht="15.75" customHeight="1" s="106"/>
    <row r="565" ht="15.75" customHeight="1" s="106"/>
    <row r="566" ht="15.75" customHeight="1" s="106"/>
    <row r="567" ht="15.75" customHeight="1" s="106"/>
    <row r="568" ht="15.75" customHeight="1" s="106"/>
    <row r="569" ht="15.75" customHeight="1" s="106"/>
    <row r="570" ht="15.75" customHeight="1" s="106"/>
    <row r="571" ht="15.75" customHeight="1" s="106"/>
    <row r="572" ht="15.75" customHeight="1" s="106"/>
    <row r="573" ht="15.75" customHeight="1" s="106"/>
    <row r="574" ht="15.75" customHeight="1" s="106"/>
    <row r="575" ht="15.75" customHeight="1" s="106"/>
    <row r="576" ht="15.75" customHeight="1" s="106"/>
    <row r="577" ht="15.75" customHeight="1" s="106"/>
    <row r="578" ht="15.75" customHeight="1" s="106"/>
    <row r="579" ht="15.75" customHeight="1" s="106"/>
    <row r="580" ht="15.75" customHeight="1" s="106"/>
    <row r="581" ht="15.75" customHeight="1" s="106"/>
    <row r="582" ht="15.75" customHeight="1" s="106"/>
    <row r="583" ht="15.75" customHeight="1" s="106"/>
    <row r="584" ht="15.75" customHeight="1" s="106"/>
    <row r="585" ht="15.75" customHeight="1" s="106"/>
    <row r="586" ht="15.75" customHeight="1" s="106"/>
    <row r="587" ht="15.75" customHeight="1" s="106"/>
    <row r="588" ht="15.75" customHeight="1" s="106"/>
    <row r="589" ht="15.75" customHeight="1" s="106"/>
    <row r="590" ht="15.75" customHeight="1" s="106"/>
    <row r="591" ht="15.75" customHeight="1" s="106"/>
    <row r="592" ht="15.75" customHeight="1" s="106"/>
    <row r="593" ht="15.75" customHeight="1" s="106"/>
    <row r="594" ht="15.75" customHeight="1" s="106"/>
    <row r="595" ht="15.75" customHeight="1" s="106"/>
    <row r="596" ht="15.75" customHeight="1" s="106"/>
    <row r="597" ht="15.75" customHeight="1" s="106"/>
    <row r="598" ht="15.75" customHeight="1" s="106"/>
    <row r="599" ht="15.75" customHeight="1" s="106"/>
    <row r="600" ht="15.75" customHeight="1" s="106"/>
    <row r="601" ht="15.75" customHeight="1" s="106"/>
    <row r="602" ht="15.75" customHeight="1" s="106"/>
    <row r="603" ht="15.75" customHeight="1" s="106"/>
    <row r="604" ht="15.75" customHeight="1" s="106"/>
    <row r="605" ht="15.75" customHeight="1" s="106"/>
    <row r="606" ht="15.75" customHeight="1" s="106"/>
    <row r="607" ht="15.75" customHeight="1" s="106"/>
    <row r="608" ht="15.75" customHeight="1" s="106"/>
    <row r="609" ht="15.75" customHeight="1" s="106"/>
    <row r="610" ht="15.75" customHeight="1" s="106"/>
    <row r="611" ht="15.75" customHeight="1" s="106"/>
    <row r="612" ht="15.75" customHeight="1" s="106"/>
    <row r="613" ht="15.75" customHeight="1" s="106"/>
    <row r="614" ht="15.75" customHeight="1" s="106"/>
    <row r="615" ht="15.75" customHeight="1" s="106"/>
    <row r="616" ht="15.75" customHeight="1" s="106"/>
    <row r="617" ht="15.75" customHeight="1" s="106"/>
    <row r="618" ht="15.75" customHeight="1" s="106"/>
    <row r="619" ht="15.75" customHeight="1" s="106"/>
    <row r="620" ht="15.75" customHeight="1" s="106"/>
    <row r="621" ht="15.75" customHeight="1" s="106"/>
    <row r="622" ht="15.75" customHeight="1" s="106"/>
    <row r="623" ht="15.75" customHeight="1" s="106"/>
    <row r="624" ht="15.75" customHeight="1" s="106"/>
    <row r="625" ht="15.75" customHeight="1" s="106"/>
    <row r="626" ht="15.75" customHeight="1" s="106"/>
    <row r="627" ht="15.75" customHeight="1" s="106"/>
    <row r="628" ht="15.75" customHeight="1" s="106"/>
    <row r="629" ht="15.75" customHeight="1" s="106"/>
    <row r="630" ht="15.75" customHeight="1" s="106"/>
    <row r="631" ht="15.75" customHeight="1" s="106"/>
    <row r="632" ht="15.75" customHeight="1" s="106"/>
    <row r="633" ht="15.75" customHeight="1" s="106"/>
    <row r="634" ht="15.75" customHeight="1" s="106"/>
    <row r="635" ht="15.75" customHeight="1" s="106"/>
    <row r="636" ht="15.75" customHeight="1" s="106"/>
    <row r="637" ht="15.75" customHeight="1" s="106"/>
    <row r="638" ht="15.75" customHeight="1" s="106"/>
    <row r="639" ht="15.75" customHeight="1" s="106"/>
    <row r="640" ht="15.75" customHeight="1" s="106"/>
    <row r="641" ht="15.75" customHeight="1" s="106"/>
    <row r="642" ht="15.75" customHeight="1" s="106"/>
    <row r="643" ht="15.75" customHeight="1" s="106"/>
    <row r="644" ht="15.75" customHeight="1" s="106"/>
    <row r="645" ht="15.75" customHeight="1" s="106"/>
    <row r="646" ht="15.75" customHeight="1" s="106"/>
    <row r="647" ht="15.75" customHeight="1" s="106"/>
    <row r="648" ht="15.75" customHeight="1" s="106"/>
    <row r="649" ht="15.75" customHeight="1" s="106"/>
    <row r="650" ht="15.75" customHeight="1" s="106"/>
    <row r="651" ht="15.75" customHeight="1" s="106"/>
    <row r="652" ht="15.75" customHeight="1" s="106"/>
    <row r="653" ht="15.75" customHeight="1" s="106"/>
    <row r="654" ht="15.75" customHeight="1" s="106"/>
    <row r="655" ht="15.75" customHeight="1" s="106"/>
    <row r="656" ht="15.75" customHeight="1" s="106"/>
    <row r="657" ht="15.75" customHeight="1" s="106"/>
    <row r="658" ht="15.75" customHeight="1" s="106"/>
    <row r="659" ht="15.75" customHeight="1" s="106"/>
    <row r="660" ht="15.75" customHeight="1" s="106"/>
    <row r="661" ht="15.75" customHeight="1" s="106"/>
    <row r="662" ht="15.75" customHeight="1" s="106"/>
    <row r="663" ht="15.75" customHeight="1" s="106"/>
    <row r="664" ht="15.75" customHeight="1" s="106"/>
    <row r="665" ht="15.75" customHeight="1" s="106"/>
    <row r="666" ht="15.75" customHeight="1" s="106"/>
    <row r="667" ht="15.75" customHeight="1" s="106"/>
    <row r="668" ht="15.75" customHeight="1" s="106"/>
    <row r="669" ht="15.75" customHeight="1" s="106"/>
    <row r="670" ht="15.75" customHeight="1" s="106"/>
    <row r="671" ht="15.75" customHeight="1" s="106"/>
    <row r="672" ht="15.75" customHeight="1" s="106"/>
    <row r="673" ht="15.75" customHeight="1" s="106"/>
    <row r="674" ht="15.75" customHeight="1" s="106"/>
    <row r="675" ht="15.75" customHeight="1" s="106"/>
    <row r="676" ht="15.75" customHeight="1" s="106"/>
    <row r="677" ht="15.75" customHeight="1" s="106"/>
    <row r="678" ht="15.75" customHeight="1" s="106"/>
    <row r="679" ht="15.75" customHeight="1" s="106"/>
    <row r="680" ht="15.75" customHeight="1" s="106"/>
    <row r="681" ht="15.75" customHeight="1" s="106"/>
    <row r="682" ht="15.75" customHeight="1" s="106"/>
    <row r="683" ht="15.75" customHeight="1" s="106"/>
    <row r="684" ht="15.75" customHeight="1" s="106"/>
    <row r="685" ht="15.75" customHeight="1" s="106"/>
    <row r="686" ht="15.75" customHeight="1" s="106"/>
    <row r="687" ht="15.75" customHeight="1" s="106"/>
    <row r="688" ht="15.75" customHeight="1" s="106"/>
    <row r="689" ht="15.75" customHeight="1" s="106"/>
    <row r="690" ht="15.75" customHeight="1" s="106"/>
    <row r="691" ht="15.75" customHeight="1" s="106"/>
    <row r="692" ht="15.75" customHeight="1" s="106"/>
    <row r="693" ht="15.75" customHeight="1" s="106"/>
    <row r="694" ht="15.75" customHeight="1" s="106"/>
    <row r="695" ht="15.75" customHeight="1" s="106"/>
    <row r="696" ht="15.75" customHeight="1" s="106"/>
    <row r="697" ht="15.75" customHeight="1" s="106"/>
    <row r="698" ht="15.75" customHeight="1" s="106"/>
    <row r="699" ht="15.75" customHeight="1" s="106"/>
    <row r="700" ht="15.75" customHeight="1" s="106"/>
    <row r="701" ht="15.75" customHeight="1" s="106"/>
    <row r="702" ht="15.75" customHeight="1" s="106"/>
    <row r="703" ht="15.75" customHeight="1" s="106"/>
    <row r="704" ht="15.75" customHeight="1" s="106"/>
    <row r="705" ht="15.75" customHeight="1" s="106"/>
    <row r="706" ht="15.75" customHeight="1" s="106"/>
    <row r="707" ht="15.75" customHeight="1" s="106"/>
    <row r="708" ht="15.75" customHeight="1" s="106"/>
    <row r="709" ht="15.75" customHeight="1" s="106"/>
    <row r="710" ht="15.75" customHeight="1" s="106"/>
    <row r="711" ht="15.75" customHeight="1" s="106"/>
    <row r="712" ht="15.75" customHeight="1" s="106"/>
    <row r="713" ht="15.75" customHeight="1" s="106"/>
    <row r="714" ht="15.75" customHeight="1" s="106"/>
    <row r="715" ht="15.75" customHeight="1" s="106"/>
    <row r="716" ht="15.75" customHeight="1" s="106"/>
    <row r="717" ht="15.75" customHeight="1" s="106"/>
    <row r="718" ht="15.75" customHeight="1" s="106"/>
    <row r="719" ht="15.75" customHeight="1" s="106"/>
    <row r="720" ht="15.75" customHeight="1" s="106"/>
    <row r="721" ht="15.75" customHeight="1" s="106"/>
    <row r="722" ht="15.75" customHeight="1" s="106"/>
    <row r="723" ht="15.75" customHeight="1" s="106"/>
    <row r="724" ht="15.75" customHeight="1" s="106"/>
    <row r="725" ht="15.75" customHeight="1" s="106"/>
    <row r="726" ht="15.75" customHeight="1" s="106"/>
    <row r="727" ht="15.75" customHeight="1" s="106"/>
    <row r="728" ht="15.75" customHeight="1" s="106"/>
    <row r="729" ht="15.75" customHeight="1" s="106"/>
    <row r="730" ht="15.75" customHeight="1" s="106"/>
    <row r="731" ht="15.75" customHeight="1" s="106"/>
    <row r="732" ht="15.75" customHeight="1" s="106"/>
    <row r="733" ht="15.75" customHeight="1" s="106"/>
    <row r="734" ht="15.75" customHeight="1" s="106"/>
    <row r="735" ht="15.75" customHeight="1" s="106"/>
    <row r="736" ht="15.75" customHeight="1" s="106"/>
    <row r="737" ht="15.75" customHeight="1" s="106"/>
    <row r="738" ht="15.75" customHeight="1" s="106"/>
    <row r="739" ht="15.75" customHeight="1" s="106"/>
    <row r="740" ht="15.75" customHeight="1" s="106"/>
    <row r="741" ht="15.75" customHeight="1" s="106"/>
    <row r="742" ht="15.75" customHeight="1" s="106"/>
    <row r="743" ht="15.75" customHeight="1" s="106"/>
    <row r="744" ht="15.75" customHeight="1" s="106"/>
    <row r="745" ht="15.75" customHeight="1" s="106"/>
    <row r="746" ht="15.75" customHeight="1" s="106"/>
    <row r="747" ht="15.75" customHeight="1" s="106"/>
    <row r="748" ht="15.75" customHeight="1" s="106"/>
    <row r="749" ht="15.75" customHeight="1" s="106"/>
    <row r="750" ht="15.75" customHeight="1" s="106"/>
    <row r="751" ht="15.75" customHeight="1" s="106"/>
    <row r="752" ht="15.75" customHeight="1" s="106"/>
    <row r="753" ht="15.75" customHeight="1" s="106"/>
    <row r="754" ht="15.75" customHeight="1" s="106"/>
    <row r="755" ht="15.75" customHeight="1" s="106"/>
    <row r="756" ht="15.75" customHeight="1" s="106"/>
    <row r="757" ht="15.75" customHeight="1" s="106"/>
    <row r="758" ht="15.75" customHeight="1" s="106"/>
    <row r="759" ht="15.75" customHeight="1" s="106"/>
    <row r="760" ht="15.75" customHeight="1" s="106"/>
    <row r="761" ht="15.75" customHeight="1" s="106"/>
    <row r="762" ht="15.75" customHeight="1" s="106"/>
    <row r="763" ht="15.75" customHeight="1" s="106"/>
    <row r="764" ht="15.75" customHeight="1" s="106"/>
    <row r="765" ht="15.75" customHeight="1" s="106"/>
    <row r="766" ht="15.75" customHeight="1" s="106"/>
    <row r="767" ht="15.75" customHeight="1" s="106"/>
    <row r="768" ht="15.75" customHeight="1" s="106"/>
    <row r="769" ht="15.75" customHeight="1" s="106"/>
    <row r="770" ht="15.75" customHeight="1" s="106"/>
    <row r="771" ht="15.75" customHeight="1" s="106"/>
    <row r="772" ht="15.75" customHeight="1" s="106"/>
    <row r="773" ht="15.75" customHeight="1" s="106"/>
    <row r="774" ht="15.75" customHeight="1" s="106"/>
    <row r="775" ht="15.75" customHeight="1" s="106"/>
    <row r="776" ht="15.75" customHeight="1" s="106"/>
    <row r="777" ht="15.75" customHeight="1" s="106"/>
    <row r="778" ht="15.75" customHeight="1" s="106"/>
    <row r="779" ht="15.75" customHeight="1" s="106"/>
    <row r="780" ht="15.75" customHeight="1" s="106"/>
    <row r="781" ht="15.75" customHeight="1" s="106"/>
    <row r="782" ht="15.75" customHeight="1" s="106"/>
    <row r="783" ht="15.75" customHeight="1" s="106"/>
    <row r="784" ht="15.75" customHeight="1" s="106"/>
    <row r="785" ht="15.75" customHeight="1" s="106"/>
    <row r="786" ht="15.75" customHeight="1" s="106"/>
    <row r="787" ht="15.75" customHeight="1" s="106"/>
    <row r="788" ht="15.75" customHeight="1" s="106"/>
    <row r="789" ht="15.75" customHeight="1" s="106"/>
    <row r="790" ht="15.75" customHeight="1" s="106"/>
    <row r="791" ht="15.75" customHeight="1" s="106"/>
    <row r="792" ht="15.75" customHeight="1" s="106"/>
    <row r="793" ht="15.75" customHeight="1" s="106"/>
    <row r="794" ht="15.75" customHeight="1" s="106"/>
    <row r="795" ht="15.75" customHeight="1" s="106"/>
    <row r="796" ht="15.75" customHeight="1" s="106"/>
    <row r="797" ht="15.75" customHeight="1" s="106"/>
    <row r="798" ht="15.75" customHeight="1" s="106"/>
    <row r="799" ht="15.75" customHeight="1" s="106"/>
    <row r="800" ht="15.75" customHeight="1" s="106"/>
    <row r="801" ht="15.75" customHeight="1" s="106"/>
    <row r="802" ht="15.75" customHeight="1" s="106"/>
    <row r="803" ht="15.75" customHeight="1" s="106"/>
    <row r="804" ht="15.75" customHeight="1" s="106"/>
    <row r="805" ht="15.75" customHeight="1" s="106"/>
    <row r="806" ht="15.75" customHeight="1" s="106"/>
    <row r="807" ht="15.75" customHeight="1" s="106"/>
    <row r="808" ht="15.75" customHeight="1" s="106"/>
    <row r="809" ht="15.75" customHeight="1" s="106"/>
    <row r="810" ht="15.75" customHeight="1" s="106"/>
    <row r="811" ht="15.75" customHeight="1" s="106"/>
    <row r="812" ht="15.75" customHeight="1" s="106"/>
    <row r="813" ht="15.75" customHeight="1" s="106"/>
    <row r="814" ht="15.75" customHeight="1" s="106"/>
    <row r="815" ht="15.75" customHeight="1" s="106"/>
    <row r="816" ht="15.75" customHeight="1" s="106"/>
    <row r="817" ht="15.75" customHeight="1" s="106"/>
    <row r="818" ht="15.75" customHeight="1" s="106"/>
    <row r="819" ht="15.75" customHeight="1" s="106"/>
    <row r="820" ht="15.75" customHeight="1" s="106"/>
    <row r="821" ht="15.75" customHeight="1" s="106"/>
    <row r="822" ht="15.75" customHeight="1" s="106"/>
    <row r="823" ht="15.75" customHeight="1" s="106"/>
    <row r="824" ht="15.75" customHeight="1" s="106"/>
    <row r="825" ht="15.75" customHeight="1" s="106"/>
    <row r="826" ht="15.75" customHeight="1" s="106"/>
    <row r="827" ht="15.75" customHeight="1" s="106"/>
    <row r="828" ht="15.75" customHeight="1" s="106"/>
    <row r="829" ht="15.75" customHeight="1" s="106"/>
    <row r="830" ht="15.75" customHeight="1" s="106"/>
    <row r="831" ht="15.75" customHeight="1" s="106"/>
    <row r="832" ht="15.75" customHeight="1" s="106"/>
    <row r="833" ht="15.75" customHeight="1" s="106"/>
    <row r="834" ht="15.75" customHeight="1" s="106"/>
    <row r="835" ht="15.75" customHeight="1" s="106"/>
    <row r="836" ht="15.75" customHeight="1" s="106"/>
    <row r="837" ht="15.75" customHeight="1" s="106"/>
    <row r="838" ht="15.75" customHeight="1" s="106"/>
    <row r="839" ht="15.75" customHeight="1" s="106"/>
    <row r="840" ht="15.75" customHeight="1" s="106"/>
    <row r="841" ht="15.75" customHeight="1" s="106"/>
    <row r="842" ht="15.75" customHeight="1" s="106"/>
    <row r="843" ht="15.75" customHeight="1" s="106"/>
    <row r="844" ht="15.75" customHeight="1" s="106"/>
    <row r="845" ht="15.75" customHeight="1" s="106"/>
    <row r="846" ht="15.75" customHeight="1" s="106"/>
    <row r="847" ht="15.75" customHeight="1" s="106"/>
    <row r="848" ht="15.75" customHeight="1" s="106"/>
    <row r="849" ht="15.75" customHeight="1" s="106"/>
    <row r="850" ht="15.75" customHeight="1" s="106"/>
    <row r="851" ht="15.75" customHeight="1" s="106"/>
    <row r="852" ht="15.75" customHeight="1" s="106"/>
    <row r="853" ht="15.75" customHeight="1" s="106"/>
    <row r="854" ht="15.75" customHeight="1" s="106"/>
    <row r="855" ht="15.75" customHeight="1" s="106"/>
    <row r="856" ht="15.75" customHeight="1" s="106"/>
    <row r="857" ht="15.75" customHeight="1" s="106"/>
    <row r="858" ht="15.75" customHeight="1" s="106"/>
    <row r="859" ht="15.75" customHeight="1" s="106"/>
    <row r="860" ht="15.75" customHeight="1" s="106"/>
    <row r="861" ht="15.75" customHeight="1" s="106"/>
    <row r="862" ht="15.75" customHeight="1" s="106"/>
    <row r="863" ht="15.75" customHeight="1" s="106"/>
    <row r="864" ht="15.75" customHeight="1" s="106"/>
    <row r="865" ht="15.75" customHeight="1" s="106"/>
    <row r="866" ht="15.75" customHeight="1" s="106"/>
    <row r="867" ht="15.75" customHeight="1" s="106"/>
    <row r="868" ht="15.75" customHeight="1" s="106"/>
    <row r="869" ht="15.75" customHeight="1" s="106"/>
    <row r="870" ht="15.75" customHeight="1" s="106"/>
    <row r="871" ht="15.75" customHeight="1" s="106"/>
    <row r="872" ht="15.75" customHeight="1" s="106"/>
    <row r="873" ht="15.75" customHeight="1" s="106"/>
    <row r="874" ht="15.75" customHeight="1" s="106"/>
    <row r="875" ht="15.75" customHeight="1" s="106"/>
    <row r="876" ht="15.75" customHeight="1" s="106"/>
    <row r="877" ht="15.75" customHeight="1" s="106"/>
    <row r="878" ht="15.75" customHeight="1" s="106"/>
    <row r="879" ht="15.75" customHeight="1" s="106"/>
    <row r="880" ht="15.75" customHeight="1" s="106"/>
    <row r="881" ht="15.75" customHeight="1" s="106"/>
    <row r="882" ht="15.75" customHeight="1" s="106"/>
    <row r="883" ht="15.75" customHeight="1" s="106"/>
    <row r="884" ht="15.75" customHeight="1" s="106"/>
    <row r="885" ht="15.75" customHeight="1" s="106"/>
    <row r="886" ht="15.75" customHeight="1" s="106"/>
    <row r="887" ht="15.75" customHeight="1" s="106"/>
    <row r="888" ht="15.75" customHeight="1" s="106"/>
    <row r="889" ht="15.75" customHeight="1" s="106"/>
    <row r="890" ht="15.75" customHeight="1" s="106"/>
    <row r="891" ht="15.75" customHeight="1" s="106"/>
    <row r="892" ht="15.75" customHeight="1" s="106"/>
    <row r="893" ht="15.75" customHeight="1" s="106"/>
    <row r="894" ht="15.75" customHeight="1" s="106"/>
    <row r="895" ht="15.75" customHeight="1" s="106"/>
    <row r="896" ht="15.75" customHeight="1" s="106"/>
    <row r="897" ht="15.75" customHeight="1" s="106"/>
    <row r="898" ht="15.75" customHeight="1" s="106"/>
    <row r="899" ht="15.75" customHeight="1" s="106"/>
    <row r="900" ht="15.75" customHeight="1" s="106"/>
    <row r="901" ht="15.75" customHeight="1" s="106"/>
    <row r="902" ht="15.75" customHeight="1" s="106"/>
    <row r="903" ht="15.75" customHeight="1" s="106"/>
    <row r="904" ht="15.75" customHeight="1" s="106"/>
    <row r="905" ht="15.75" customHeight="1" s="106"/>
    <row r="906" ht="15.75" customHeight="1" s="106"/>
    <row r="907" ht="15.75" customHeight="1" s="106"/>
    <row r="908" ht="15.75" customHeight="1" s="106"/>
    <row r="909" ht="15.75" customHeight="1" s="106"/>
    <row r="910" ht="15.75" customHeight="1" s="106"/>
    <row r="911" ht="15.75" customHeight="1" s="106"/>
    <row r="912" ht="15.75" customHeight="1" s="106"/>
    <row r="913" ht="15.75" customHeight="1" s="106"/>
    <row r="914" ht="15.75" customHeight="1" s="106"/>
    <row r="915" ht="15.75" customHeight="1" s="106"/>
    <row r="916" ht="15.75" customHeight="1" s="106"/>
    <row r="917" ht="15.75" customHeight="1" s="106"/>
    <row r="918" ht="15.75" customHeight="1" s="106"/>
    <row r="919" ht="15.75" customHeight="1" s="106"/>
    <row r="920" ht="15.75" customHeight="1" s="106"/>
    <row r="921" ht="15.75" customHeight="1" s="106"/>
    <row r="922" ht="15.75" customHeight="1" s="106"/>
    <row r="923" ht="15.75" customHeight="1" s="106"/>
    <row r="924" ht="15.75" customHeight="1" s="106"/>
    <row r="925" ht="15.75" customHeight="1" s="106"/>
    <row r="926" ht="15.75" customHeight="1" s="106"/>
    <row r="927" ht="15.75" customHeight="1" s="106"/>
    <row r="928" ht="15.75" customHeight="1" s="106"/>
    <row r="929" ht="15.75" customHeight="1" s="106"/>
    <row r="930" ht="15.75" customHeight="1" s="106"/>
    <row r="931" ht="15.75" customHeight="1" s="106"/>
    <row r="932" ht="15.75" customHeight="1" s="106"/>
    <row r="933" ht="15.75" customHeight="1" s="106"/>
    <row r="934" ht="15.75" customHeight="1" s="106"/>
    <row r="935" ht="15.75" customHeight="1" s="106"/>
    <row r="936" ht="15.75" customHeight="1" s="106"/>
    <row r="937" ht="15.75" customHeight="1" s="106"/>
    <row r="938" ht="15.75" customHeight="1" s="106"/>
    <row r="939" ht="15.75" customHeight="1" s="106"/>
    <row r="940" ht="15.75" customHeight="1" s="106"/>
    <row r="941" ht="15.75" customHeight="1" s="106"/>
    <row r="942" ht="15.75" customHeight="1" s="106"/>
    <row r="943" ht="15.75" customHeight="1" s="106"/>
    <row r="944" ht="15.75" customHeight="1" s="106"/>
    <row r="945" ht="15.75" customHeight="1" s="106"/>
    <row r="946" ht="15.75" customHeight="1" s="106"/>
    <row r="947" ht="15.75" customHeight="1" s="106"/>
    <row r="948" ht="15.75" customHeight="1" s="106"/>
    <row r="949" ht="15.75" customHeight="1" s="106"/>
    <row r="950" ht="15.75" customHeight="1" s="106"/>
    <row r="951" ht="15.75" customHeight="1" s="106"/>
    <row r="952" ht="15.75" customHeight="1" s="106"/>
    <row r="953" ht="15.75" customHeight="1" s="106"/>
    <row r="954" ht="15.75" customHeight="1" s="106"/>
    <row r="955" ht="15.75" customHeight="1" s="106"/>
    <row r="956" ht="15.75" customHeight="1" s="106"/>
    <row r="957" ht="15.75" customHeight="1" s="106"/>
    <row r="958" ht="15.75" customHeight="1" s="106"/>
    <row r="959" ht="15.75" customHeight="1" s="106"/>
    <row r="960" ht="15.75" customHeight="1" s="106"/>
    <row r="961" ht="15.75" customHeight="1" s="106"/>
    <row r="962" ht="15.75" customHeight="1" s="106"/>
    <row r="963" ht="15.75" customHeight="1" s="106"/>
    <row r="964" ht="15.75" customHeight="1" s="106"/>
    <row r="965" ht="15.75" customHeight="1" s="106"/>
    <row r="966" ht="15.75" customHeight="1" s="106"/>
    <row r="967" ht="15.75" customHeight="1" s="106"/>
    <row r="968" ht="15.75" customHeight="1" s="106"/>
    <row r="969" ht="15.75" customHeight="1" s="106"/>
    <row r="970" ht="15.75" customHeight="1" s="106"/>
    <row r="971" ht="15.75" customHeight="1" s="106"/>
    <row r="972" ht="15.75" customHeight="1" s="106"/>
    <row r="973" ht="15.75" customHeight="1" s="106"/>
    <row r="974" ht="15.75" customHeight="1" s="106"/>
    <row r="975" ht="15.75" customHeight="1" s="106"/>
    <row r="976" ht="15.75" customHeight="1" s="106"/>
    <row r="977" ht="15.75" customHeight="1" s="106"/>
    <row r="978" ht="15.75" customHeight="1" s="106"/>
    <row r="979" ht="15.75" customHeight="1" s="106"/>
    <row r="980" ht="15.75" customHeight="1" s="106"/>
    <row r="981" ht="15.75" customHeight="1" s="106"/>
    <row r="982" ht="15.75" customHeight="1" s="106"/>
    <row r="983" ht="15.75" customHeight="1" s="106"/>
    <row r="984" ht="15.75" customHeight="1" s="106"/>
    <row r="985" ht="15.75" customHeight="1" s="106"/>
    <row r="986" ht="15.75" customHeight="1" s="106"/>
    <row r="987" ht="15.75" customHeight="1" s="106"/>
    <row r="988" ht="15.75" customHeight="1" s="106"/>
    <row r="989" ht="15.75" customHeight="1" s="106"/>
    <row r="990" ht="15.75" customHeight="1" s="106"/>
    <row r="991" ht="15.75" customHeight="1" s="106"/>
    <row r="992" ht="15.75" customHeight="1" s="106"/>
    <row r="993" ht="15.75" customHeight="1" s="106"/>
    <row r="994" ht="15.75" customHeight="1" s="106"/>
    <row r="995" ht="15.75" customHeight="1" s="106"/>
    <row r="996" ht="15.75" customHeight="1" s="106"/>
    <row r="997" ht="15.75" customHeight="1" s="106"/>
    <row r="998" ht="15.75" customHeight="1" s="106"/>
    <row r="999" ht="15.75" customHeight="1" s="106"/>
    <row r="1000" ht="15.75" customHeight="1" s="106"/>
  </sheetData>
  <mergeCells count="17">
    <mergeCell ref="C20:D20"/>
    <mergeCell ref="B44:F50"/>
    <mergeCell ref="C29:D29"/>
    <mergeCell ref="C30:D30"/>
    <mergeCell ref="C21:D21"/>
    <mergeCell ref="C24:D24"/>
    <mergeCell ref="C25:D25"/>
    <mergeCell ref="C27:D27"/>
    <mergeCell ref="C19:D19"/>
    <mergeCell ref="B3:F3"/>
    <mergeCell ref="B18:D18"/>
    <mergeCell ref="C28:D28"/>
    <mergeCell ref="B2:D2"/>
    <mergeCell ref="C22:D22"/>
    <mergeCell ref="C31:D31"/>
    <mergeCell ref="C26:D26"/>
    <mergeCell ref="C23:D23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47"/>
  <sheetViews>
    <sheetView workbookViewId="0">
      <selection activeCell="A1" sqref="A1"/>
    </sheetView>
  </sheetViews>
  <sheetFormatPr baseColWidth="8" defaultColWidth="14.43" defaultRowHeight="15" customHeight="1" outlineLevelCol="0"/>
  <cols>
    <col width="3" customWidth="1" style="106" min="1" max="1"/>
    <col width="14" customWidth="1" style="106" min="2" max="2"/>
    <col width="48" customWidth="1" style="106" min="3" max="3"/>
    <col width="16" customWidth="1" style="106" min="4" max="4"/>
    <col width="14" customWidth="1" style="106" min="5" max="5"/>
    <col width="8.710000000000001" customWidth="1" style="106" min="6" max="26"/>
  </cols>
  <sheetData>
    <row r="2">
      <c r="B2" s="1" t="inlineStr">
        <is>
          <t>КАССА ЗАКАЗА — опционально (после сделки)</t>
        </is>
      </c>
    </row>
    <row r="3" ht="19.5" customHeight="1" s="106">
      <c r="B3" s="145" t="inlineStr">
        <is>
          <t>ЭТОТ ЛИСТ НЕ УЧАСТВУЕТ В РАСЧЁТЕ ЦЕНЫ И МАРЖИ.
Нужен только чтобы помнить: сколько клиент уже заплатил и сколько вы уже потратили по заказу.
Если считаете только КП — этот лист можно полностью игнорировать.
Связь со Сводкой: одна — подтягивает «Цену КП» (сколько договорились), чтобы показать остаток к получению.
Обратно в Сводку / Калькуляцию / Металл касса НИЧЕГО не отправляет.</t>
        </is>
      </c>
    </row>
    <row r="4" ht="18" customHeight="1" s="106"/>
    <row r="5" ht="18" customHeight="1" s="106"/>
    <row r="6" ht="18" customHeight="1" s="106"/>
    <row r="7" ht="18" customHeight="1" s="106"/>
    <row r="9">
      <c r="B9" s="107" t="inlineStr">
        <is>
          <t>1) СКОЛЬКО ПОЛУЧИЛИ ОТ КЛИЕНТА</t>
        </is>
      </c>
      <c r="C9" s="109" t="n"/>
      <c r="D9" s="108" t="n"/>
    </row>
    <row r="10">
      <c r="B10" s="5" t="inlineStr">
        <is>
          <t>Дата</t>
        </is>
      </c>
      <c r="C10" s="5" t="inlineStr">
        <is>
          <t>Что за платёж</t>
        </is>
      </c>
      <c r="D10" s="5" t="inlineStr">
        <is>
          <t>Сумма</t>
        </is>
      </c>
    </row>
    <row r="11">
      <c r="B11" s="23" t="n"/>
      <c r="C11" s="23" t="n"/>
      <c r="D11" s="102" t="n"/>
    </row>
    <row r="12">
      <c r="B12" s="23" t="n"/>
      <c r="C12" s="23" t="n"/>
      <c r="D12" s="102" t="n"/>
    </row>
    <row r="13">
      <c r="B13" s="23" t="n"/>
      <c r="C13" s="23" t="n"/>
      <c r="D13" s="102" t="n"/>
    </row>
    <row r="14">
      <c r="B14" s="23" t="n"/>
      <c r="C14" s="23" t="n"/>
      <c r="D14" s="102" t="n"/>
    </row>
    <row r="15">
      <c r="B15" s="23" t="n"/>
      <c r="C15" s="23" t="n"/>
      <c r="D15" s="102" t="n"/>
    </row>
    <row r="16">
      <c r="C16" s="99" t="inlineStr">
        <is>
          <t>Всего получено:</t>
        </is>
      </c>
      <c r="D16" s="18">
        <f>SUM(D11:D15)</f>
        <v/>
      </c>
    </row>
    <row r="17">
      <c r="C17" s="99" t="inlineStr">
        <is>
          <t>Цена КП (из Сводки, только для справки):</t>
        </is>
      </c>
      <c r="D17" s="34">
        <f>'Сводка'!D24</f>
        <v/>
      </c>
    </row>
    <row r="18">
      <c r="C18" s="99" t="inlineStr">
        <is>
          <t>Ещё должен клиент:</t>
        </is>
      </c>
      <c r="D18" s="100">
        <f>D17-D16</f>
        <v/>
      </c>
    </row>
    <row r="20">
      <c r="B20" s="107" t="inlineStr">
        <is>
          <t>2) СКОЛЬКО УЖЕ ВЫПЛАТИЛИ ПО ЗАКАЗУ</t>
        </is>
      </c>
      <c r="C20" s="109" t="n"/>
      <c r="D20" s="108" t="n"/>
    </row>
    <row r="21" ht="15.75" customHeight="1" s="106">
      <c r="B21" s="5" t="inlineStr">
        <is>
          <t>Дата</t>
        </is>
      </c>
      <c r="C21" s="5" t="inlineStr">
        <is>
          <t>Кому / за что</t>
        </is>
      </c>
      <c r="D21" s="5" t="inlineStr">
        <is>
          <t>Сумма</t>
        </is>
      </c>
    </row>
    <row r="22" ht="15.75" customHeight="1" s="106">
      <c r="B22" s="23" t="n"/>
      <c r="C22" s="23" t="n"/>
      <c r="D22" s="102" t="n"/>
    </row>
    <row r="23" ht="15.75" customHeight="1" s="106">
      <c r="B23" s="23" t="n"/>
      <c r="C23" s="23" t="n"/>
      <c r="D23" s="102" t="n"/>
    </row>
    <row r="24" ht="15.75" customHeight="1" s="106">
      <c r="B24" s="23" t="n"/>
      <c r="C24" s="23" t="n"/>
      <c r="D24" s="102" t="n"/>
    </row>
    <row r="25" ht="15.75" customHeight="1" s="106">
      <c r="B25" s="23" t="n"/>
      <c r="C25" s="23" t="n"/>
      <c r="D25" s="102" t="n"/>
    </row>
    <row r="26" ht="15.75" customHeight="1" s="106">
      <c r="B26" s="23" t="n"/>
      <c r="C26" s="23" t="n"/>
      <c r="D26" s="102" t="n"/>
    </row>
    <row r="27" ht="15.75" customHeight="1" s="106">
      <c r="B27" s="23" t="n"/>
      <c r="C27" s="23" t="n"/>
      <c r="D27" s="102" t="n"/>
    </row>
    <row r="28" ht="15.75" customHeight="1" s="106">
      <c r="B28" s="23" t="n"/>
      <c r="C28" s="23" t="n"/>
      <c r="D28" s="102" t="n"/>
    </row>
    <row r="29" ht="15.75" customHeight="1" s="106">
      <c r="B29" s="23" t="n"/>
      <c r="C29" s="23" t="n"/>
      <c r="D29" s="102" t="n"/>
    </row>
    <row r="30" ht="15.75" customHeight="1" s="106">
      <c r="B30" s="23" t="n"/>
      <c r="C30" s="23" t="n"/>
      <c r="D30" s="102" t="n"/>
    </row>
    <row r="31" ht="15.75" customHeight="1" s="106">
      <c r="B31" s="23" t="n"/>
      <c r="C31" s="23" t="n"/>
      <c r="D31" s="102" t="n"/>
    </row>
    <row r="32" ht="15.75" customHeight="1" s="106">
      <c r="B32" s="23" t="n"/>
      <c r="C32" s="23" t="n"/>
      <c r="D32" s="102" t="n"/>
    </row>
    <row r="33" ht="15.75" customHeight="1" s="106">
      <c r="B33" s="23" t="n"/>
      <c r="C33" s="23" t="n"/>
      <c r="D33" s="102" t="n"/>
    </row>
    <row r="34" ht="15.75" customHeight="1" s="106">
      <c r="B34" s="23" t="n"/>
      <c r="C34" s="23" t="n"/>
      <c r="D34" s="102" t="n"/>
    </row>
    <row r="35" ht="15.75" customHeight="1" s="106">
      <c r="B35" s="23" t="n"/>
      <c r="C35" s="23" t="n"/>
      <c r="D35" s="102" t="n"/>
    </row>
    <row r="36" ht="15.75" customHeight="1" s="106">
      <c r="B36" s="23" t="n"/>
      <c r="C36" s="23" t="n"/>
      <c r="D36" s="102" t="n"/>
    </row>
    <row r="37" ht="15.75" customHeight="1" s="106">
      <c r="B37" s="23" t="n"/>
      <c r="C37" s="23" t="n"/>
      <c r="D37" s="102" t="n"/>
    </row>
    <row r="38" ht="15.75" customHeight="1" s="106">
      <c r="B38" s="23" t="n"/>
      <c r="C38" s="23" t="n"/>
      <c r="D38" s="102" t="n"/>
    </row>
    <row r="39" ht="15.75" customHeight="1" s="106">
      <c r="B39" s="23" t="n"/>
      <c r="C39" s="23" t="n"/>
      <c r="D39" s="102" t="n"/>
    </row>
    <row r="40" ht="15.75" customHeight="1" s="106">
      <c r="B40" s="23" t="n"/>
      <c r="C40" s="23" t="n"/>
      <c r="D40" s="102" t="n"/>
    </row>
    <row r="41" ht="15.75" customHeight="1" s="106">
      <c r="B41" s="23" t="n"/>
      <c r="C41" s="23" t="n"/>
      <c r="D41" s="102" t="n"/>
    </row>
    <row r="42" ht="15.75" customHeight="1" s="106"/>
    <row r="43" ht="15.75" customHeight="1" s="106">
      <c r="C43" s="99" t="inlineStr">
        <is>
          <t>Всего выплат:</t>
        </is>
      </c>
      <c r="D43" s="18">
        <f>SUM(D22:D41)</f>
        <v/>
      </c>
    </row>
    <row r="44" ht="15.75" customHeight="1" s="106">
      <c r="C44" s="99" t="inlineStr">
        <is>
          <t>Живые деньги по заказу сейчас (получено − выплаты):</t>
        </is>
      </c>
      <c r="D44" s="57">
        <f>D16-D43</f>
        <v/>
      </c>
    </row>
    <row r="45" ht="15.75" customHeight="1" s="106"/>
    <row r="46" ht="15.75" customHeight="1" s="106">
      <c r="B46" s="3" t="inlineStr">
        <is>
          <t>Пример: КП 100 000, аванс 50 000, купили металл 20 000 → получено 50 000, выплат 20 000, в кассе заказа 30 000. Прибыль при этом смотрите на Сводке, не здесь.</t>
        </is>
      </c>
    </row>
    <row r="47" ht="15.75" customHeight="1" s="106"/>
    <row r="48" ht="15.75" customHeight="1" s="106"/>
    <row r="49" ht="15.75" customHeight="1" s="106"/>
    <row r="50" ht="15.75" customHeight="1" s="106"/>
    <row r="51" ht="15.75" customHeight="1" s="106"/>
    <row r="52" ht="15.75" customHeight="1" s="106"/>
    <row r="53" ht="15.75" customHeight="1" s="106"/>
    <row r="54" ht="15.75" customHeight="1" s="106"/>
    <row r="55" ht="15.75" customHeight="1" s="106"/>
    <row r="56" ht="15.75" customHeight="1" s="106"/>
    <row r="57" ht="15.75" customHeight="1" s="106"/>
    <row r="58" ht="15.75" customHeight="1" s="106"/>
    <row r="59" ht="15.75" customHeight="1" s="106"/>
    <row r="60" ht="15.75" customHeight="1" s="106"/>
    <row r="61" ht="15.75" customHeight="1" s="106"/>
    <row r="62" ht="15.75" customHeight="1" s="106"/>
    <row r="63" ht="15.75" customHeight="1" s="106"/>
    <row r="64" ht="15.75" customHeight="1" s="106"/>
    <row r="65" ht="15.75" customHeight="1" s="106"/>
    <row r="66" ht="15.75" customHeight="1" s="106"/>
    <row r="67" ht="15.75" customHeight="1" s="106"/>
    <row r="68" ht="15.75" customHeight="1" s="106"/>
    <row r="69" ht="15.75" customHeight="1" s="106"/>
    <row r="70" ht="15.75" customHeight="1" s="106"/>
    <row r="71" ht="15.75" customHeight="1" s="106"/>
    <row r="72" ht="15.75" customHeight="1" s="106"/>
    <row r="73" ht="15.75" customHeight="1" s="106"/>
    <row r="74" ht="15.75" customHeight="1" s="106"/>
    <row r="75" ht="15.75" customHeight="1" s="106"/>
    <row r="76" ht="15.75" customHeight="1" s="106"/>
    <row r="77" ht="15.75" customHeight="1" s="106"/>
    <row r="78" ht="15.75" customHeight="1" s="106"/>
    <row r="79" ht="15.75" customHeight="1" s="106"/>
    <row r="80" ht="15.75" customHeight="1" s="106"/>
    <row r="81" ht="15.75" customHeight="1" s="106"/>
    <row r="82" ht="15.75" customHeight="1" s="106"/>
    <row r="83" ht="15.75" customHeight="1" s="106"/>
    <row r="84" ht="15.75" customHeight="1" s="106"/>
    <row r="85" ht="15.75" customHeight="1" s="106"/>
    <row r="86" ht="15.75" customHeight="1" s="106"/>
    <row r="87" ht="15.75" customHeight="1" s="106"/>
    <row r="88" ht="15.75" customHeight="1" s="106"/>
    <row r="89" ht="15.75" customHeight="1" s="106"/>
    <row r="90" ht="15.75" customHeight="1" s="106"/>
    <row r="91" ht="15.75" customHeight="1" s="106"/>
    <row r="92" ht="15.75" customHeight="1" s="106"/>
    <row r="93" ht="15.75" customHeight="1" s="106"/>
    <row r="94" ht="15.75" customHeight="1" s="106"/>
    <row r="95" ht="15.75" customHeight="1" s="106"/>
    <row r="96" ht="15.75" customHeight="1" s="106"/>
    <row r="97" ht="15.75" customHeight="1" s="106"/>
    <row r="98" ht="15.75" customHeight="1" s="106"/>
    <row r="99" ht="15.75" customHeight="1" s="106"/>
    <row r="100" ht="15.75" customHeight="1" s="106"/>
    <row r="101" ht="15.75" customHeight="1" s="106"/>
    <row r="102" ht="15.75" customHeight="1" s="106"/>
    <row r="103" ht="15.75" customHeight="1" s="106"/>
    <row r="104" ht="15.75" customHeight="1" s="106"/>
    <row r="105" ht="15.75" customHeight="1" s="106"/>
    <row r="106" ht="15.75" customHeight="1" s="106"/>
    <row r="107" ht="15.75" customHeight="1" s="106"/>
    <row r="108" ht="15.75" customHeight="1" s="106"/>
    <row r="109" ht="15.75" customHeight="1" s="106"/>
    <row r="110" ht="15.75" customHeight="1" s="106"/>
    <row r="111" ht="15.75" customHeight="1" s="106"/>
    <row r="112" ht="15.75" customHeight="1" s="106"/>
    <row r="113" ht="15.75" customHeight="1" s="106"/>
    <row r="114" ht="15.75" customHeight="1" s="106"/>
    <row r="115" ht="15.75" customHeight="1" s="106"/>
    <row r="116" ht="15.75" customHeight="1" s="106"/>
    <row r="117" ht="15.75" customHeight="1" s="106"/>
    <row r="118" ht="15.75" customHeight="1" s="106"/>
    <row r="119" ht="15.75" customHeight="1" s="106"/>
    <row r="120" ht="15.75" customHeight="1" s="106"/>
    <row r="121" ht="15.75" customHeight="1" s="106"/>
    <row r="122" ht="15.75" customHeight="1" s="106"/>
    <row r="123" ht="15.75" customHeight="1" s="106"/>
    <row r="124" ht="15.75" customHeight="1" s="106"/>
    <row r="125" ht="15.75" customHeight="1" s="106"/>
    <row r="126" ht="15.75" customHeight="1" s="106"/>
    <row r="127" ht="15.75" customHeight="1" s="106"/>
    <row r="128" ht="15.75" customHeight="1" s="106"/>
    <row r="129" ht="15.75" customHeight="1" s="106"/>
    <row r="130" ht="15.75" customHeight="1" s="106"/>
    <row r="131" ht="15.75" customHeight="1" s="106"/>
    <row r="132" ht="15.75" customHeight="1" s="106"/>
    <row r="133" ht="15.75" customHeight="1" s="106"/>
    <row r="134" ht="15.75" customHeight="1" s="106"/>
    <row r="135" ht="15.75" customHeight="1" s="106"/>
    <row r="136" ht="15.75" customHeight="1" s="106"/>
    <row r="137" ht="15.75" customHeight="1" s="106"/>
    <row r="138" ht="15.75" customHeight="1" s="106"/>
    <row r="139" ht="15.75" customHeight="1" s="106"/>
    <row r="140" ht="15.75" customHeight="1" s="106"/>
    <row r="141" ht="15.75" customHeight="1" s="106"/>
    <row r="142" ht="15.75" customHeight="1" s="106"/>
    <row r="143" ht="15.75" customHeight="1" s="106"/>
    <row r="144" ht="15.75" customHeight="1" s="106"/>
    <row r="145" ht="15.75" customHeight="1" s="106"/>
    <row r="146" ht="15.75" customHeight="1" s="106"/>
    <row r="147" ht="15.75" customHeight="1" s="106"/>
    <row r="148" ht="15.75" customHeight="1" s="106"/>
    <row r="149" ht="15.75" customHeight="1" s="106"/>
    <row r="150" ht="15.75" customHeight="1" s="106"/>
    <row r="151" ht="15.75" customHeight="1" s="106"/>
    <row r="152" ht="15.75" customHeight="1" s="106"/>
    <row r="153" ht="15.75" customHeight="1" s="106"/>
    <row r="154" ht="15.75" customHeight="1" s="106"/>
    <row r="155" ht="15.75" customHeight="1" s="106"/>
    <row r="156" ht="15.75" customHeight="1" s="106"/>
    <row r="157" ht="15.75" customHeight="1" s="106"/>
    <row r="158" ht="15.75" customHeight="1" s="106"/>
    <row r="159" ht="15.75" customHeight="1" s="106"/>
    <row r="160" ht="15.75" customHeight="1" s="106"/>
    <row r="161" ht="15.75" customHeight="1" s="106"/>
    <row r="162" ht="15.75" customHeight="1" s="106"/>
    <row r="163" ht="15.75" customHeight="1" s="106"/>
    <row r="164" ht="15.75" customHeight="1" s="106"/>
    <row r="165" ht="15.75" customHeight="1" s="106"/>
    <row r="166" ht="15.75" customHeight="1" s="106"/>
    <row r="167" ht="15.75" customHeight="1" s="106"/>
    <row r="168" ht="15.75" customHeight="1" s="106"/>
    <row r="169" ht="15.75" customHeight="1" s="106"/>
    <row r="170" ht="15.75" customHeight="1" s="106"/>
    <row r="171" ht="15.75" customHeight="1" s="106"/>
    <row r="172" ht="15.75" customHeight="1" s="106"/>
    <row r="173" ht="15.75" customHeight="1" s="106"/>
    <row r="174" ht="15.75" customHeight="1" s="106"/>
    <row r="175" ht="15.75" customHeight="1" s="106"/>
    <row r="176" ht="15.75" customHeight="1" s="106"/>
    <row r="177" ht="15.75" customHeight="1" s="106"/>
    <row r="178" ht="15.75" customHeight="1" s="106"/>
    <row r="179" ht="15.75" customHeight="1" s="106"/>
    <row r="180" ht="15.75" customHeight="1" s="106"/>
    <row r="181" ht="15.75" customHeight="1" s="106"/>
    <row r="182" ht="15.75" customHeight="1" s="106"/>
    <row r="183" ht="15.75" customHeight="1" s="106"/>
    <row r="184" ht="15.75" customHeight="1" s="106"/>
    <row r="185" ht="15.75" customHeight="1" s="106"/>
    <row r="186" ht="15.75" customHeight="1" s="106"/>
    <row r="187" ht="15.75" customHeight="1" s="106"/>
    <row r="188" ht="15.75" customHeight="1" s="106"/>
    <row r="189" ht="15.75" customHeight="1" s="106"/>
    <row r="190" ht="15.75" customHeight="1" s="106"/>
    <row r="191" ht="15.75" customHeight="1" s="106"/>
    <row r="192" ht="15.75" customHeight="1" s="106"/>
    <row r="193" ht="15.75" customHeight="1" s="106"/>
    <row r="194" ht="15.75" customHeight="1" s="106"/>
    <row r="195" ht="15.75" customHeight="1" s="106"/>
    <row r="196" ht="15.75" customHeight="1" s="106"/>
    <row r="197" ht="15.75" customHeight="1" s="106"/>
    <row r="198" ht="15.75" customHeight="1" s="106"/>
    <row r="199" ht="15.75" customHeight="1" s="106"/>
    <row r="200" ht="15.75" customHeight="1" s="106"/>
    <row r="201" ht="15.75" customHeight="1" s="106"/>
    <row r="202" ht="15.75" customHeight="1" s="106"/>
    <row r="203" ht="15.75" customHeight="1" s="106"/>
    <row r="204" ht="15.75" customHeight="1" s="106"/>
    <row r="205" ht="15.75" customHeight="1" s="106"/>
    <row r="206" ht="15.75" customHeight="1" s="106"/>
    <row r="207" ht="15.75" customHeight="1" s="106"/>
    <row r="208" ht="15.75" customHeight="1" s="106"/>
    <row r="209" ht="15.75" customHeight="1" s="106"/>
    <row r="210" ht="15.75" customHeight="1" s="106"/>
    <row r="211" ht="15.75" customHeight="1" s="106"/>
    <row r="212" ht="15.75" customHeight="1" s="106"/>
    <row r="213" ht="15.75" customHeight="1" s="106"/>
    <row r="214" ht="15.75" customHeight="1" s="106"/>
    <row r="215" ht="15.75" customHeight="1" s="106"/>
    <row r="216" ht="15.75" customHeight="1" s="106"/>
    <row r="217" ht="15.75" customHeight="1" s="106"/>
    <row r="218" ht="15.75" customHeight="1" s="106"/>
    <row r="219" ht="15.75" customHeight="1" s="106"/>
    <row r="220" ht="15.75" customHeight="1" s="106"/>
    <row r="221" ht="15.75" customHeight="1" s="106"/>
    <row r="222" ht="15.75" customHeight="1" s="106"/>
    <row r="223" ht="15.75" customHeight="1" s="106"/>
    <row r="224" ht="15.75" customHeight="1" s="106"/>
    <row r="225" ht="15.75" customHeight="1" s="106"/>
    <row r="226" ht="15.75" customHeight="1" s="106"/>
    <row r="227" ht="15.75" customHeight="1" s="106"/>
    <row r="228" ht="15.75" customHeight="1" s="106"/>
    <row r="229" ht="15.75" customHeight="1" s="106"/>
    <row r="230" ht="15.75" customHeight="1" s="106"/>
    <row r="231" ht="15.75" customHeight="1" s="106"/>
    <row r="232" ht="15.75" customHeight="1" s="106"/>
    <row r="233" ht="15.75" customHeight="1" s="106"/>
    <row r="234" ht="15.75" customHeight="1" s="106"/>
    <row r="235" ht="15.75" customHeight="1" s="106"/>
    <row r="236" ht="15.75" customHeight="1" s="106"/>
    <row r="237" ht="15.75" customHeight="1" s="106"/>
    <row r="238" ht="15.75" customHeight="1" s="106"/>
    <row r="239" ht="15.75" customHeight="1" s="106"/>
    <row r="240" ht="15.75" customHeight="1" s="106"/>
    <row r="241" ht="15.75" customHeight="1" s="106"/>
    <row r="242" ht="15.75" customHeight="1" s="106"/>
    <row r="243" ht="15.75" customHeight="1" s="106"/>
    <row r="244" ht="15.75" customHeight="1" s="106"/>
    <row r="245" ht="15.75" customHeight="1" s="106"/>
    <row r="246" ht="15.75" customHeight="1" s="106"/>
    <row r="247" ht="15.75" customHeight="1" s="106"/>
    <row r="248" ht="15.75" customHeight="1" s="106"/>
    <row r="249" ht="15.75" customHeight="1" s="106"/>
    <row r="250" ht="15.75" customHeight="1" s="106"/>
    <row r="251" ht="15.75" customHeight="1" s="106"/>
    <row r="252" ht="15.75" customHeight="1" s="106"/>
    <row r="253" ht="15.75" customHeight="1" s="106"/>
    <row r="254" ht="15.75" customHeight="1" s="106"/>
    <row r="255" ht="15.75" customHeight="1" s="106"/>
    <row r="256" ht="15.75" customHeight="1" s="106"/>
    <row r="257" ht="15.75" customHeight="1" s="106"/>
    <row r="258" ht="15.75" customHeight="1" s="106"/>
    <row r="259" ht="15.75" customHeight="1" s="106"/>
    <row r="260" ht="15.75" customHeight="1" s="106"/>
    <row r="261" ht="15.75" customHeight="1" s="106"/>
    <row r="262" ht="15.75" customHeight="1" s="106"/>
    <row r="263" ht="15.75" customHeight="1" s="106"/>
    <row r="264" ht="15.75" customHeight="1" s="106"/>
    <row r="265" ht="15.75" customHeight="1" s="106"/>
    <row r="266" ht="15.75" customHeight="1" s="106"/>
    <row r="267" ht="15.75" customHeight="1" s="106"/>
    <row r="268" ht="15.75" customHeight="1" s="106"/>
    <row r="269" ht="15.75" customHeight="1" s="106"/>
    <row r="270" ht="15.75" customHeight="1" s="106"/>
    <row r="271" ht="15.75" customHeight="1" s="106"/>
    <row r="272" ht="15.75" customHeight="1" s="106"/>
    <row r="273" ht="15.75" customHeight="1" s="106"/>
    <row r="274" ht="15.75" customHeight="1" s="106"/>
    <row r="275" ht="15.75" customHeight="1" s="106"/>
    <row r="276" ht="15.75" customHeight="1" s="106"/>
    <row r="277" ht="15.75" customHeight="1" s="106"/>
    <row r="278" ht="15.75" customHeight="1" s="106"/>
    <row r="279" ht="15.75" customHeight="1" s="106"/>
    <row r="280" ht="15.75" customHeight="1" s="106"/>
    <row r="281" ht="15.75" customHeight="1" s="106"/>
    <row r="282" ht="15.75" customHeight="1" s="106"/>
    <row r="283" ht="15.75" customHeight="1" s="106"/>
    <row r="284" ht="15.75" customHeight="1" s="106"/>
    <row r="285" ht="15.75" customHeight="1" s="106"/>
    <row r="286" ht="15.75" customHeight="1" s="106"/>
    <row r="287" ht="15.75" customHeight="1" s="106"/>
    <row r="288" ht="15.75" customHeight="1" s="106"/>
    <row r="289" ht="15.75" customHeight="1" s="106"/>
    <row r="290" ht="15.75" customHeight="1" s="106"/>
    <row r="291" ht="15.75" customHeight="1" s="106"/>
    <row r="292" ht="15.75" customHeight="1" s="106"/>
    <row r="293" ht="15.75" customHeight="1" s="106"/>
    <row r="294" ht="15.75" customHeight="1" s="106"/>
    <row r="295" ht="15.75" customHeight="1" s="106"/>
    <row r="296" ht="15.75" customHeight="1" s="106"/>
    <row r="297" ht="15.75" customHeight="1" s="106"/>
    <row r="298" ht="15.75" customHeight="1" s="106"/>
    <row r="299" ht="15.75" customHeight="1" s="106"/>
    <row r="300" ht="15.75" customHeight="1" s="106"/>
    <row r="301" ht="15.75" customHeight="1" s="106"/>
    <row r="302" ht="15.75" customHeight="1" s="106"/>
    <row r="303" ht="15.75" customHeight="1" s="106"/>
    <row r="304" ht="15.75" customHeight="1" s="106"/>
    <row r="305" ht="15.75" customHeight="1" s="106"/>
    <row r="306" ht="15.75" customHeight="1" s="106"/>
    <row r="307" ht="15.75" customHeight="1" s="106"/>
    <row r="308" ht="15.75" customHeight="1" s="106"/>
    <row r="309" ht="15.75" customHeight="1" s="106"/>
    <row r="310" ht="15.75" customHeight="1" s="106"/>
    <row r="311" ht="15.75" customHeight="1" s="106"/>
    <row r="312" ht="15.75" customHeight="1" s="106"/>
    <row r="313" ht="15.75" customHeight="1" s="106"/>
    <row r="314" ht="15.75" customHeight="1" s="106"/>
    <row r="315" ht="15.75" customHeight="1" s="106"/>
    <row r="316" ht="15.75" customHeight="1" s="106"/>
    <row r="317" ht="15.75" customHeight="1" s="106"/>
    <row r="318" ht="15.75" customHeight="1" s="106"/>
    <row r="319" ht="15.75" customHeight="1" s="106"/>
    <row r="320" ht="15.75" customHeight="1" s="106"/>
    <row r="321" ht="15.75" customHeight="1" s="106"/>
    <row r="322" ht="15.75" customHeight="1" s="106"/>
    <row r="323" ht="15.75" customHeight="1" s="106"/>
    <row r="324" ht="15.75" customHeight="1" s="106"/>
    <row r="325" ht="15.75" customHeight="1" s="106"/>
    <row r="326" ht="15.75" customHeight="1" s="106"/>
    <row r="327" ht="15.75" customHeight="1" s="106"/>
    <row r="328" ht="15.75" customHeight="1" s="106"/>
    <row r="329" ht="15.75" customHeight="1" s="106"/>
    <row r="330" ht="15.75" customHeight="1" s="106"/>
    <row r="331" ht="15.75" customHeight="1" s="106"/>
    <row r="332" ht="15.75" customHeight="1" s="106"/>
    <row r="333" ht="15.75" customHeight="1" s="106"/>
    <row r="334" ht="15.75" customHeight="1" s="106"/>
    <row r="335" ht="15.75" customHeight="1" s="106"/>
    <row r="336" ht="15.75" customHeight="1" s="106"/>
    <row r="337" ht="15.75" customHeight="1" s="106"/>
    <row r="338" ht="15.75" customHeight="1" s="106"/>
    <row r="339" ht="15.75" customHeight="1" s="106"/>
    <row r="340" ht="15.75" customHeight="1" s="106"/>
    <row r="341" ht="15.75" customHeight="1" s="106"/>
    <row r="342" ht="15.75" customHeight="1" s="106"/>
    <row r="343" ht="15.75" customHeight="1" s="106"/>
    <row r="344" ht="15.75" customHeight="1" s="106"/>
    <row r="345" ht="15.75" customHeight="1" s="106"/>
    <row r="346" ht="15.75" customHeight="1" s="106"/>
    <row r="347" ht="15.75" customHeight="1" s="106"/>
    <row r="348" ht="15.75" customHeight="1" s="106"/>
    <row r="349" ht="15.75" customHeight="1" s="106"/>
    <row r="350" ht="15.75" customHeight="1" s="106"/>
    <row r="351" ht="15.75" customHeight="1" s="106"/>
    <row r="352" ht="15.75" customHeight="1" s="106"/>
    <row r="353" ht="15.75" customHeight="1" s="106"/>
    <row r="354" ht="15.75" customHeight="1" s="106"/>
    <row r="355" ht="15.75" customHeight="1" s="106"/>
    <row r="356" ht="15.75" customHeight="1" s="106"/>
    <row r="357" ht="15.75" customHeight="1" s="106"/>
    <row r="358" ht="15.75" customHeight="1" s="106"/>
    <row r="359" ht="15.75" customHeight="1" s="106"/>
    <row r="360" ht="15.75" customHeight="1" s="106"/>
    <row r="361" ht="15.75" customHeight="1" s="106"/>
    <row r="362" ht="15.75" customHeight="1" s="106"/>
    <row r="363" ht="15.75" customHeight="1" s="106"/>
    <row r="364" ht="15.75" customHeight="1" s="106"/>
    <row r="365" ht="15.75" customHeight="1" s="106"/>
    <row r="366" ht="15.75" customHeight="1" s="106"/>
    <row r="367" ht="15.75" customHeight="1" s="106"/>
    <row r="368" ht="15.75" customHeight="1" s="106"/>
    <row r="369" ht="15.75" customHeight="1" s="106"/>
    <row r="370" ht="15.75" customHeight="1" s="106"/>
    <row r="371" ht="15.75" customHeight="1" s="106"/>
    <row r="372" ht="15.75" customHeight="1" s="106"/>
    <row r="373" ht="15.75" customHeight="1" s="106"/>
    <row r="374" ht="15.75" customHeight="1" s="106"/>
    <row r="375" ht="15.75" customHeight="1" s="106"/>
    <row r="376" ht="15.75" customHeight="1" s="106"/>
    <row r="377" ht="15.75" customHeight="1" s="106"/>
    <row r="378" ht="15.75" customHeight="1" s="106"/>
    <row r="379" ht="15.75" customHeight="1" s="106"/>
    <row r="380" ht="15.75" customHeight="1" s="106"/>
    <row r="381" ht="15.75" customHeight="1" s="106"/>
    <row r="382" ht="15.75" customHeight="1" s="106"/>
    <row r="383" ht="15.75" customHeight="1" s="106"/>
    <row r="384" ht="15.75" customHeight="1" s="106"/>
    <row r="385" ht="15.75" customHeight="1" s="106"/>
    <row r="386" ht="15.75" customHeight="1" s="106"/>
    <row r="387" ht="15.75" customHeight="1" s="106"/>
    <row r="388" ht="15.75" customHeight="1" s="106"/>
    <row r="389" ht="15.75" customHeight="1" s="106"/>
    <row r="390" ht="15.75" customHeight="1" s="106"/>
    <row r="391" ht="15.75" customHeight="1" s="106"/>
    <row r="392" ht="15.75" customHeight="1" s="106"/>
    <row r="393" ht="15.75" customHeight="1" s="106"/>
    <row r="394" ht="15.75" customHeight="1" s="106"/>
    <row r="395" ht="15.75" customHeight="1" s="106"/>
    <row r="396" ht="15.75" customHeight="1" s="106"/>
    <row r="397" ht="15.75" customHeight="1" s="106"/>
    <row r="398" ht="15.75" customHeight="1" s="106"/>
    <row r="399" ht="15.75" customHeight="1" s="106"/>
    <row r="400" ht="15.75" customHeight="1" s="106"/>
    <row r="401" ht="15.75" customHeight="1" s="106"/>
    <row r="402" ht="15.75" customHeight="1" s="106"/>
    <row r="403" ht="15.75" customHeight="1" s="106"/>
    <row r="404" ht="15.75" customHeight="1" s="106"/>
    <row r="405" ht="15.75" customHeight="1" s="106"/>
    <row r="406" ht="15.75" customHeight="1" s="106"/>
    <row r="407" ht="15.75" customHeight="1" s="106"/>
    <row r="408" ht="15.75" customHeight="1" s="106"/>
    <row r="409" ht="15.75" customHeight="1" s="106"/>
    <row r="410" ht="15.75" customHeight="1" s="106"/>
    <row r="411" ht="15.75" customHeight="1" s="106"/>
    <row r="412" ht="15.75" customHeight="1" s="106"/>
    <row r="413" ht="15.75" customHeight="1" s="106"/>
    <row r="414" ht="15.75" customHeight="1" s="106"/>
    <row r="415" ht="15.75" customHeight="1" s="106"/>
    <row r="416" ht="15.75" customHeight="1" s="106"/>
    <row r="417" ht="15.75" customHeight="1" s="106"/>
    <row r="418" ht="15.75" customHeight="1" s="106"/>
    <row r="419" ht="15.75" customHeight="1" s="106"/>
    <row r="420" ht="15.75" customHeight="1" s="106"/>
    <row r="421" ht="15.75" customHeight="1" s="106"/>
    <row r="422" ht="15.75" customHeight="1" s="106"/>
    <row r="423" ht="15.75" customHeight="1" s="106"/>
    <row r="424" ht="15.75" customHeight="1" s="106"/>
    <row r="425" ht="15.75" customHeight="1" s="106"/>
    <row r="426" ht="15.75" customHeight="1" s="106"/>
    <row r="427" ht="15.75" customHeight="1" s="106"/>
    <row r="428" ht="15.75" customHeight="1" s="106"/>
    <row r="429" ht="15.75" customHeight="1" s="106"/>
    <row r="430" ht="15.75" customHeight="1" s="106"/>
    <row r="431" ht="15.75" customHeight="1" s="106"/>
    <row r="432" ht="15.75" customHeight="1" s="106"/>
    <row r="433" ht="15.75" customHeight="1" s="106"/>
    <row r="434" ht="15.75" customHeight="1" s="106"/>
    <row r="435" ht="15.75" customHeight="1" s="106"/>
    <row r="436" ht="15.75" customHeight="1" s="106"/>
    <row r="437" ht="15.75" customHeight="1" s="106"/>
    <row r="438" ht="15.75" customHeight="1" s="106"/>
    <row r="439" ht="15.75" customHeight="1" s="106"/>
    <row r="440" ht="15.75" customHeight="1" s="106"/>
    <row r="441" ht="15.75" customHeight="1" s="106"/>
    <row r="442" ht="15.75" customHeight="1" s="106"/>
    <row r="443" ht="15.75" customHeight="1" s="106"/>
    <row r="444" ht="15.75" customHeight="1" s="106"/>
    <row r="445" ht="15.75" customHeight="1" s="106"/>
    <row r="446" ht="15.75" customHeight="1" s="106"/>
    <row r="447" ht="15.75" customHeight="1" s="106"/>
    <row r="448" ht="15.75" customHeight="1" s="106"/>
    <row r="449" ht="15.75" customHeight="1" s="106"/>
    <row r="450" ht="15.75" customHeight="1" s="106"/>
    <row r="451" ht="15.75" customHeight="1" s="106"/>
    <row r="452" ht="15.75" customHeight="1" s="106"/>
    <row r="453" ht="15.75" customHeight="1" s="106"/>
    <row r="454" ht="15.75" customHeight="1" s="106"/>
    <row r="455" ht="15.75" customHeight="1" s="106"/>
    <row r="456" ht="15.75" customHeight="1" s="106"/>
    <row r="457" ht="15.75" customHeight="1" s="106"/>
    <row r="458" ht="15.75" customHeight="1" s="106"/>
    <row r="459" ht="15.75" customHeight="1" s="106"/>
    <row r="460" ht="15.75" customHeight="1" s="106"/>
    <row r="461" ht="15.75" customHeight="1" s="106"/>
    <row r="462" ht="15.75" customHeight="1" s="106"/>
    <row r="463" ht="15.75" customHeight="1" s="106"/>
    <row r="464" ht="15.75" customHeight="1" s="106"/>
    <row r="465" ht="15.75" customHeight="1" s="106"/>
    <row r="466" ht="15.75" customHeight="1" s="106"/>
    <row r="467" ht="15.75" customHeight="1" s="106"/>
    <row r="468" ht="15.75" customHeight="1" s="106"/>
    <row r="469" ht="15.75" customHeight="1" s="106"/>
    <row r="470" ht="15.75" customHeight="1" s="106"/>
    <row r="471" ht="15.75" customHeight="1" s="106"/>
    <row r="472" ht="15.75" customHeight="1" s="106"/>
    <row r="473" ht="15.75" customHeight="1" s="106"/>
    <row r="474" ht="15.75" customHeight="1" s="106"/>
    <row r="475" ht="15.75" customHeight="1" s="106"/>
    <row r="476" ht="15.75" customHeight="1" s="106"/>
    <row r="477" ht="15.75" customHeight="1" s="106"/>
    <row r="478" ht="15.75" customHeight="1" s="106"/>
    <row r="479" ht="15.75" customHeight="1" s="106"/>
    <row r="480" ht="15.75" customHeight="1" s="106"/>
    <row r="481" ht="15.75" customHeight="1" s="106"/>
    <row r="482" ht="15.75" customHeight="1" s="106"/>
    <row r="483" ht="15.75" customHeight="1" s="106"/>
    <row r="484" ht="15.75" customHeight="1" s="106"/>
    <row r="485" ht="15.75" customHeight="1" s="106"/>
    <row r="486" ht="15.75" customHeight="1" s="106"/>
    <row r="487" ht="15.75" customHeight="1" s="106"/>
    <row r="488" ht="15.75" customHeight="1" s="106"/>
    <row r="489" ht="15.75" customHeight="1" s="106"/>
    <row r="490" ht="15.75" customHeight="1" s="106"/>
    <row r="491" ht="15.75" customHeight="1" s="106"/>
    <row r="492" ht="15.75" customHeight="1" s="106"/>
    <row r="493" ht="15.75" customHeight="1" s="106"/>
    <row r="494" ht="15.75" customHeight="1" s="106"/>
    <row r="495" ht="15.75" customHeight="1" s="106"/>
    <row r="496" ht="15.75" customHeight="1" s="106"/>
    <row r="497" ht="15.75" customHeight="1" s="106"/>
    <row r="498" ht="15.75" customHeight="1" s="106"/>
    <row r="499" ht="15.75" customHeight="1" s="106"/>
    <row r="500" ht="15.75" customHeight="1" s="106"/>
    <row r="501" ht="15.75" customHeight="1" s="106"/>
    <row r="502" ht="15.75" customHeight="1" s="106"/>
    <row r="503" ht="15.75" customHeight="1" s="106"/>
    <row r="504" ht="15.75" customHeight="1" s="106"/>
    <row r="505" ht="15.75" customHeight="1" s="106"/>
    <row r="506" ht="15.75" customHeight="1" s="106"/>
    <row r="507" ht="15.75" customHeight="1" s="106"/>
    <row r="508" ht="15.75" customHeight="1" s="106"/>
    <row r="509" ht="15.75" customHeight="1" s="106"/>
    <row r="510" ht="15.75" customHeight="1" s="106"/>
    <row r="511" ht="15.75" customHeight="1" s="106"/>
    <row r="512" ht="15.75" customHeight="1" s="106"/>
    <row r="513" ht="15.75" customHeight="1" s="106"/>
    <row r="514" ht="15.75" customHeight="1" s="106"/>
    <row r="515" ht="15.75" customHeight="1" s="106"/>
    <row r="516" ht="15.75" customHeight="1" s="106"/>
    <row r="517" ht="15.75" customHeight="1" s="106"/>
    <row r="518" ht="15.75" customHeight="1" s="106"/>
    <row r="519" ht="15.75" customHeight="1" s="106"/>
    <row r="520" ht="15.75" customHeight="1" s="106"/>
    <row r="521" ht="15.75" customHeight="1" s="106"/>
    <row r="522" ht="15.75" customHeight="1" s="106"/>
    <row r="523" ht="15.75" customHeight="1" s="106"/>
    <row r="524" ht="15.75" customHeight="1" s="106"/>
    <row r="525" ht="15.75" customHeight="1" s="106"/>
    <row r="526" ht="15.75" customHeight="1" s="106"/>
    <row r="527" ht="15.75" customHeight="1" s="106"/>
    <row r="528" ht="15.75" customHeight="1" s="106"/>
    <row r="529" ht="15.75" customHeight="1" s="106"/>
    <row r="530" ht="15.75" customHeight="1" s="106"/>
    <row r="531" ht="15.75" customHeight="1" s="106"/>
    <row r="532" ht="15.75" customHeight="1" s="106"/>
    <row r="533" ht="15.75" customHeight="1" s="106"/>
    <row r="534" ht="15.75" customHeight="1" s="106"/>
    <row r="535" ht="15.75" customHeight="1" s="106"/>
    <row r="536" ht="15.75" customHeight="1" s="106"/>
    <row r="537" ht="15.75" customHeight="1" s="106"/>
    <row r="538" ht="15.75" customHeight="1" s="106"/>
    <row r="539" ht="15.75" customHeight="1" s="106"/>
    <row r="540" ht="15.75" customHeight="1" s="106"/>
    <row r="541" ht="15.75" customHeight="1" s="106"/>
    <row r="542" ht="15.75" customHeight="1" s="106"/>
    <row r="543" ht="15.75" customHeight="1" s="106"/>
    <row r="544" ht="15.75" customHeight="1" s="106"/>
    <row r="545" ht="15.75" customHeight="1" s="106"/>
    <row r="546" ht="15.75" customHeight="1" s="106"/>
    <row r="547" ht="15.75" customHeight="1" s="106"/>
    <row r="548" ht="15.75" customHeight="1" s="106"/>
    <row r="549" ht="15.75" customHeight="1" s="106"/>
    <row r="550" ht="15.75" customHeight="1" s="106"/>
    <row r="551" ht="15.75" customHeight="1" s="106"/>
    <row r="552" ht="15.75" customHeight="1" s="106"/>
    <row r="553" ht="15.75" customHeight="1" s="106"/>
    <row r="554" ht="15.75" customHeight="1" s="106"/>
    <row r="555" ht="15.75" customHeight="1" s="106"/>
    <row r="556" ht="15.75" customHeight="1" s="106"/>
    <row r="557" ht="15.75" customHeight="1" s="106"/>
    <row r="558" ht="15.75" customHeight="1" s="106"/>
    <row r="559" ht="15.75" customHeight="1" s="106"/>
    <row r="560" ht="15.75" customHeight="1" s="106"/>
    <row r="561" ht="15.75" customHeight="1" s="106"/>
    <row r="562" ht="15.75" customHeight="1" s="106"/>
    <row r="563" ht="15.75" customHeight="1" s="106"/>
    <row r="564" ht="15.75" customHeight="1" s="106"/>
    <row r="565" ht="15.75" customHeight="1" s="106"/>
    <row r="566" ht="15.75" customHeight="1" s="106"/>
    <row r="567" ht="15.75" customHeight="1" s="106"/>
    <row r="568" ht="15.75" customHeight="1" s="106"/>
    <row r="569" ht="15.75" customHeight="1" s="106"/>
    <row r="570" ht="15.75" customHeight="1" s="106"/>
    <row r="571" ht="15.75" customHeight="1" s="106"/>
    <row r="572" ht="15.75" customHeight="1" s="106"/>
    <row r="573" ht="15.75" customHeight="1" s="106"/>
    <row r="574" ht="15.75" customHeight="1" s="106"/>
    <row r="575" ht="15.75" customHeight="1" s="106"/>
    <row r="576" ht="15.75" customHeight="1" s="106"/>
    <row r="577" ht="15.75" customHeight="1" s="106"/>
    <row r="578" ht="15.75" customHeight="1" s="106"/>
    <row r="579" ht="15.75" customHeight="1" s="106"/>
    <row r="580" ht="15.75" customHeight="1" s="106"/>
    <row r="581" ht="15.75" customHeight="1" s="106"/>
    <row r="582" ht="15.75" customHeight="1" s="106"/>
    <row r="583" ht="15.75" customHeight="1" s="106"/>
    <row r="584" ht="15.75" customHeight="1" s="106"/>
    <row r="585" ht="15.75" customHeight="1" s="106"/>
    <row r="586" ht="15.75" customHeight="1" s="106"/>
    <row r="587" ht="15.75" customHeight="1" s="106"/>
    <row r="588" ht="15.75" customHeight="1" s="106"/>
    <row r="589" ht="15.75" customHeight="1" s="106"/>
    <row r="590" ht="15.75" customHeight="1" s="106"/>
    <row r="591" ht="15.75" customHeight="1" s="106"/>
    <row r="592" ht="15.75" customHeight="1" s="106"/>
    <row r="593" ht="15.75" customHeight="1" s="106"/>
    <row r="594" ht="15.75" customHeight="1" s="106"/>
    <row r="595" ht="15.75" customHeight="1" s="106"/>
    <row r="596" ht="15.75" customHeight="1" s="106"/>
    <row r="597" ht="15.75" customHeight="1" s="106"/>
    <row r="598" ht="15.75" customHeight="1" s="106"/>
    <row r="599" ht="15.75" customHeight="1" s="106"/>
    <row r="600" ht="15.75" customHeight="1" s="106"/>
    <row r="601" ht="15.75" customHeight="1" s="106"/>
    <row r="602" ht="15.75" customHeight="1" s="106"/>
    <row r="603" ht="15.75" customHeight="1" s="106"/>
    <row r="604" ht="15.75" customHeight="1" s="106"/>
    <row r="605" ht="15.75" customHeight="1" s="106"/>
    <row r="606" ht="15.75" customHeight="1" s="106"/>
    <row r="607" ht="15.75" customHeight="1" s="106"/>
    <row r="608" ht="15.75" customHeight="1" s="106"/>
    <row r="609" ht="15.75" customHeight="1" s="106"/>
    <row r="610" ht="15.75" customHeight="1" s="106"/>
    <row r="611" ht="15.75" customHeight="1" s="106"/>
    <row r="612" ht="15.75" customHeight="1" s="106"/>
    <row r="613" ht="15.75" customHeight="1" s="106"/>
    <row r="614" ht="15.75" customHeight="1" s="106"/>
    <row r="615" ht="15.75" customHeight="1" s="106"/>
    <row r="616" ht="15.75" customHeight="1" s="106"/>
    <row r="617" ht="15.75" customHeight="1" s="106"/>
    <row r="618" ht="15.75" customHeight="1" s="106"/>
    <row r="619" ht="15.75" customHeight="1" s="106"/>
    <row r="620" ht="15.75" customHeight="1" s="106"/>
    <row r="621" ht="15.75" customHeight="1" s="106"/>
    <row r="622" ht="15.75" customHeight="1" s="106"/>
    <row r="623" ht="15.75" customHeight="1" s="106"/>
    <row r="624" ht="15.75" customHeight="1" s="106"/>
    <row r="625" ht="15.75" customHeight="1" s="106"/>
    <row r="626" ht="15.75" customHeight="1" s="106"/>
    <row r="627" ht="15.75" customHeight="1" s="106"/>
    <row r="628" ht="15.75" customHeight="1" s="106"/>
    <row r="629" ht="15.75" customHeight="1" s="106"/>
    <row r="630" ht="15.75" customHeight="1" s="106"/>
    <row r="631" ht="15.75" customHeight="1" s="106"/>
    <row r="632" ht="15.75" customHeight="1" s="106"/>
    <row r="633" ht="15.75" customHeight="1" s="106"/>
    <row r="634" ht="15.75" customHeight="1" s="106"/>
    <row r="635" ht="15.75" customHeight="1" s="106"/>
    <row r="636" ht="15.75" customHeight="1" s="106"/>
    <row r="637" ht="15.75" customHeight="1" s="106"/>
    <row r="638" ht="15.75" customHeight="1" s="106"/>
    <row r="639" ht="15.75" customHeight="1" s="106"/>
    <row r="640" ht="15.75" customHeight="1" s="106"/>
    <row r="641" ht="15.75" customHeight="1" s="106"/>
    <row r="642" ht="15.75" customHeight="1" s="106"/>
    <row r="643" ht="15.75" customHeight="1" s="106"/>
    <row r="644" ht="15.75" customHeight="1" s="106"/>
    <row r="645" ht="15.75" customHeight="1" s="106"/>
    <row r="646" ht="15.75" customHeight="1" s="106"/>
    <row r="647" ht="15.75" customHeight="1" s="106"/>
    <row r="648" ht="15.75" customHeight="1" s="106"/>
    <row r="649" ht="15.75" customHeight="1" s="106"/>
    <row r="650" ht="15.75" customHeight="1" s="106"/>
    <row r="651" ht="15.75" customHeight="1" s="106"/>
    <row r="652" ht="15.75" customHeight="1" s="106"/>
    <row r="653" ht="15.75" customHeight="1" s="106"/>
    <row r="654" ht="15.75" customHeight="1" s="106"/>
    <row r="655" ht="15.75" customHeight="1" s="106"/>
    <row r="656" ht="15.75" customHeight="1" s="106"/>
    <row r="657" ht="15.75" customHeight="1" s="106"/>
    <row r="658" ht="15.75" customHeight="1" s="106"/>
    <row r="659" ht="15.75" customHeight="1" s="106"/>
    <row r="660" ht="15.75" customHeight="1" s="106"/>
    <row r="661" ht="15.75" customHeight="1" s="106"/>
    <row r="662" ht="15.75" customHeight="1" s="106"/>
    <row r="663" ht="15.75" customHeight="1" s="106"/>
    <row r="664" ht="15.75" customHeight="1" s="106"/>
    <row r="665" ht="15.75" customHeight="1" s="106"/>
    <row r="666" ht="15.75" customHeight="1" s="106"/>
    <row r="667" ht="15.75" customHeight="1" s="106"/>
    <row r="668" ht="15.75" customHeight="1" s="106"/>
    <row r="669" ht="15.75" customHeight="1" s="106"/>
    <row r="670" ht="15.75" customHeight="1" s="106"/>
    <row r="671" ht="15.75" customHeight="1" s="106"/>
    <row r="672" ht="15.75" customHeight="1" s="106"/>
    <row r="673" ht="15.75" customHeight="1" s="106"/>
    <row r="674" ht="15.75" customHeight="1" s="106"/>
    <row r="675" ht="15.75" customHeight="1" s="106"/>
    <row r="676" ht="15.75" customHeight="1" s="106"/>
    <row r="677" ht="15.75" customHeight="1" s="106"/>
    <row r="678" ht="15.75" customHeight="1" s="106"/>
    <row r="679" ht="15.75" customHeight="1" s="106"/>
    <row r="680" ht="15.75" customHeight="1" s="106"/>
    <row r="681" ht="15.75" customHeight="1" s="106"/>
    <row r="682" ht="15.75" customHeight="1" s="106"/>
    <row r="683" ht="15.75" customHeight="1" s="106"/>
    <row r="684" ht="15.75" customHeight="1" s="106"/>
    <row r="685" ht="15.75" customHeight="1" s="106"/>
    <row r="686" ht="15.75" customHeight="1" s="106"/>
    <row r="687" ht="15.75" customHeight="1" s="106"/>
    <row r="688" ht="15.75" customHeight="1" s="106"/>
    <row r="689" ht="15.75" customHeight="1" s="106"/>
    <row r="690" ht="15.75" customHeight="1" s="106"/>
    <row r="691" ht="15.75" customHeight="1" s="106"/>
    <row r="692" ht="15.75" customHeight="1" s="106"/>
    <row r="693" ht="15.75" customHeight="1" s="106"/>
    <row r="694" ht="15.75" customHeight="1" s="106"/>
    <row r="695" ht="15.75" customHeight="1" s="106"/>
    <row r="696" ht="15.75" customHeight="1" s="106"/>
    <row r="697" ht="15.75" customHeight="1" s="106"/>
    <row r="698" ht="15.75" customHeight="1" s="106"/>
    <row r="699" ht="15.75" customHeight="1" s="106"/>
    <row r="700" ht="15.75" customHeight="1" s="106"/>
    <row r="701" ht="15.75" customHeight="1" s="106"/>
    <row r="702" ht="15.75" customHeight="1" s="106"/>
    <row r="703" ht="15.75" customHeight="1" s="106"/>
    <row r="704" ht="15.75" customHeight="1" s="106"/>
    <row r="705" ht="15.75" customHeight="1" s="106"/>
    <row r="706" ht="15.75" customHeight="1" s="106"/>
    <row r="707" ht="15.75" customHeight="1" s="106"/>
    <row r="708" ht="15.75" customHeight="1" s="106"/>
    <row r="709" ht="15.75" customHeight="1" s="106"/>
    <row r="710" ht="15.75" customHeight="1" s="106"/>
    <row r="711" ht="15.75" customHeight="1" s="106"/>
    <row r="712" ht="15.75" customHeight="1" s="106"/>
    <row r="713" ht="15.75" customHeight="1" s="106"/>
    <row r="714" ht="15.75" customHeight="1" s="106"/>
    <row r="715" ht="15.75" customHeight="1" s="106"/>
    <row r="716" ht="15.75" customHeight="1" s="106"/>
    <row r="717" ht="15.75" customHeight="1" s="106"/>
    <row r="718" ht="15.75" customHeight="1" s="106"/>
    <row r="719" ht="15.75" customHeight="1" s="106"/>
    <row r="720" ht="15.75" customHeight="1" s="106"/>
    <row r="721" ht="15.75" customHeight="1" s="106"/>
    <row r="722" ht="15.75" customHeight="1" s="106"/>
    <row r="723" ht="15.75" customHeight="1" s="106"/>
    <row r="724" ht="15.75" customHeight="1" s="106"/>
    <row r="725" ht="15.75" customHeight="1" s="106"/>
    <row r="726" ht="15.75" customHeight="1" s="106"/>
    <row r="727" ht="15.75" customHeight="1" s="106"/>
    <row r="728" ht="15.75" customHeight="1" s="106"/>
    <row r="729" ht="15.75" customHeight="1" s="106"/>
    <row r="730" ht="15.75" customHeight="1" s="106"/>
    <row r="731" ht="15.75" customHeight="1" s="106"/>
    <row r="732" ht="15.75" customHeight="1" s="106"/>
    <row r="733" ht="15.75" customHeight="1" s="106"/>
    <row r="734" ht="15.75" customHeight="1" s="106"/>
    <row r="735" ht="15.75" customHeight="1" s="106"/>
    <row r="736" ht="15.75" customHeight="1" s="106"/>
    <row r="737" ht="15.75" customHeight="1" s="106"/>
    <row r="738" ht="15.75" customHeight="1" s="106"/>
    <row r="739" ht="15.75" customHeight="1" s="106"/>
    <row r="740" ht="15.75" customHeight="1" s="106"/>
    <row r="741" ht="15.75" customHeight="1" s="106"/>
    <row r="742" ht="15.75" customHeight="1" s="106"/>
    <row r="743" ht="15.75" customHeight="1" s="106"/>
    <row r="744" ht="15.75" customHeight="1" s="106"/>
    <row r="745" ht="15.75" customHeight="1" s="106"/>
    <row r="746" ht="15.75" customHeight="1" s="106"/>
    <row r="747" ht="15.75" customHeight="1" s="106"/>
    <row r="748" ht="15.75" customHeight="1" s="106"/>
    <row r="749" ht="15.75" customHeight="1" s="106"/>
    <row r="750" ht="15.75" customHeight="1" s="106"/>
    <row r="751" ht="15.75" customHeight="1" s="106"/>
    <row r="752" ht="15.75" customHeight="1" s="106"/>
    <row r="753" ht="15.75" customHeight="1" s="106"/>
    <row r="754" ht="15.75" customHeight="1" s="106"/>
    <row r="755" ht="15.75" customHeight="1" s="106"/>
    <row r="756" ht="15.75" customHeight="1" s="106"/>
    <row r="757" ht="15.75" customHeight="1" s="106"/>
    <row r="758" ht="15.75" customHeight="1" s="106"/>
    <row r="759" ht="15.75" customHeight="1" s="106"/>
    <row r="760" ht="15.75" customHeight="1" s="106"/>
    <row r="761" ht="15.75" customHeight="1" s="106"/>
    <row r="762" ht="15.75" customHeight="1" s="106"/>
    <row r="763" ht="15.75" customHeight="1" s="106"/>
    <row r="764" ht="15.75" customHeight="1" s="106"/>
    <row r="765" ht="15.75" customHeight="1" s="106"/>
    <row r="766" ht="15.75" customHeight="1" s="106"/>
    <row r="767" ht="15.75" customHeight="1" s="106"/>
    <row r="768" ht="15.75" customHeight="1" s="106"/>
    <row r="769" ht="15.75" customHeight="1" s="106"/>
    <row r="770" ht="15.75" customHeight="1" s="106"/>
    <row r="771" ht="15.75" customHeight="1" s="106"/>
    <row r="772" ht="15.75" customHeight="1" s="106"/>
    <row r="773" ht="15.75" customHeight="1" s="106"/>
    <row r="774" ht="15.75" customHeight="1" s="106"/>
    <row r="775" ht="15.75" customHeight="1" s="106"/>
    <row r="776" ht="15.75" customHeight="1" s="106"/>
    <row r="777" ht="15.75" customHeight="1" s="106"/>
    <row r="778" ht="15.75" customHeight="1" s="106"/>
    <row r="779" ht="15.75" customHeight="1" s="106"/>
    <row r="780" ht="15.75" customHeight="1" s="106"/>
    <row r="781" ht="15.75" customHeight="1" s="106"/>
    <row r="782" ht="15.75" customHeight="1" s="106"/>
    <row r="783" ht="15.75" customHeight="1" s="106"/>
    <row r="784" ht="15.75" customHeight="1" s="106"/>
    <row r="785" ht="15.75" customHeight="1" s="106"/>
    <row r="786" ht="15.75" customHeight="1" s="106"/>
    <row r="787" ht="15.75" customHeight="1" s="106"/>
    <row r="788" ht="15.75" customHeight="1" s="106"/>
    <row r="789" ht="15.75" customHeight="1" s="106"/>
    <row r="790" ht="15.75" customHeight="1" s="106"/>
    <row r="791" ht="15.75" customHeight="1" s="106"/>
    <row r="792" ht="15.75" customHeight="1" s="106"/>
    <row r="793" ht="15.75" customHeight="1" s="106"/>
    <row r="794" ht="15.75" customHeight="1" s="106"/>
    <row r="795" ht="15.75" customHeight="1" s="106"/>
    <row r="796" ht="15.75" customHeight="1" s="106"/>
    <row r="797" ht="15.75" customHeight="1" s="106"/>
    <row r="798" ht="15.75" customHeight="1" s="106"/>
    <row r="799" ht="15.75" customHeight="1" s="106"/>
    <row r="800" ht="15.75" customHeight="1" s="106"/>
    <row r="801" ht="15.75" customHeight="1" s="106"/>
    <row r="802" ht="15.75" customHeight="1" s="106"/>
    <row r="803" ht="15.75" customHeight="1" s="106"/>
    <row r="804" ht="15.75" customHeight="1" s="106"/>
    <row r="805" ht="15.75" customHeight="1" s="106"/>
    <row r="806" ht="15.75" customHeight="1" s="106"/>
    <row r="807" ht="15.75" customHeight="1" s="106"/>
    <row r="808" ht="15.75" customHeight="1" s="106"/>
    <row r="809" ht="15.75" customHeight="1" s="106"/>
    <row r="810" ht="15.75" customHeight="1" s="106"/>
    <row r="811" ht="15.75" customHeight="1" s="106"/>
    <row r="812" ht="15.75" customHeight="1" s="106"/>
    <row r="813" ht="15.75" customHeight="1" s="106"/>
    <row r="814" ht="15.75" customHeight="1" s="106"/>
    <row r="815" ht="15.75" customHeight="1" s="106"/>
    <row r="816" ht="15.75" customHeight="1" s="106"/>
    <row r="817" ht="15.75" customHeight="1" s="106"/>
    <row r="818" ht="15.75" customHeight="1" s="106"/>
    <row r="819" ht="15.75" customHeight="1" s="106"/>
    <row r="820" ht="15.75" customHeight="1" s="106"/>
    <row r="821" ht="15.75" customHeight="1" s="106"/>
    <row r="822" ht="15.75" customHeight="1" s="106"/>
    <row r="823" ht="15.75" customHeight="1" s="106"/>
    <row r="824" ht="15.75" customHeight="1" s="106"/>
    <row r="825" ht="15.75" customHeight="1" s="106"/>
    <row r="826" ht="15.75" customHeight="1" s="106"/>
    <row r="827" ht="15.75" customHeight="1" s="106"/>
    <row r="828" ht="15.75" customHeight="1" s="106"/>
    <row r="829" ht="15.75" customHeight="1" s="106"/>
    <row r="830" ht="15.75" customHeight="1" s="106"/>
    <row r="831" ht="15.75" customHeight="1" s="106"/>
    <row r="832" ht="15.75" customHeight="1" s="106"/>
    <row r="833" ht="15.75" customHeight="1" s="106"/>
    <row r="834" ht="15.75" customHeight="1" s="106"/>
    <row r="835" ht="15.75" customHeight="1" s="106"/>
    <row r="836" ht="15.75" customHeight="1" s="106"/>
    <row r="837" ht="15.75" customHeight="1" s="106"/>
    <row r="838" ht="15.75" customHeight="1" s="106"/>
    <row r="839" ht="15.75" customHeight="1" s="106"/>
    <row r="840" ht="15.75" customHeight="1" s="106"/>
    <row r="841" ht="15.75" customHeight="1" s="106"/>
    <row r="842" ht="15.75" customHeight="1" s="106"/>
    <row r="843" ht="15.75" customHeight="1" s="106"/>
    <row r="844" ht="15.75" customHeight="1" s="106"/>
    <row r="845" ht="15.75" customHeight="1" s="106"/>
    <row r="846" ht="15.75" customHeight="1" s="106"/>
    <row r="847" ht="15.75" customHeight="1" s="106"/>
    <row r="848" ht="15.75" customHeight="1" s="106"/>
    <row r="849" ht="15.75" customHeight="1" s="106"/>
    <row r="850" ht="15.75" customHeight="1" s="106"/>
    <row r="851" ht="15.75" customHeight="1" s="106"/>
    <row r="852" ht="15.75" customHeight="1" s="106"/>
    <row r="853" ht="15.75" customHeight="1" s="106"/>
    <row r="854" ht="15.75" customHeight="1" s="106"/>
    <row r="855" ht="15.75" customHeight="1" s="106"/>
    <row r="856" ht="15.75" customHeight="1" s="106"/>
    <row r="857" ht="15.75" customHeight="1" s="106"/>
    <row r="858" ht="15.75" customHeight="1" s="106"/>
    <row r="859" ht="15.75" customHeight="1" s="106"/>
    <row r="860" ht="15.75" customHeight="1" s="106"/>
    <row r="861" ht="15.75" customHeight="1" s="106"/>
    <row r="862" ht="15.75" customHeight="1" s="106"/>
    <row r="863" ht="15.75" customHeight="1" s="106"/>
    <row r="864" ht="15.75" customHeight="1" s="106"/>
    <row r="865" ht="15.75" customHeight="1" s="106"/>
    <row r="866" ht="15.75" customHeight="1" s="106"/>
    <row r="867" ht="15.75" customHeight="1" s="106"/>
    <row r="868" ht="15.75" customHeight="1" s="106"/>
    <row r="869" ht="15.75" customHeight="1" s="106"/>
    <row r="870" ht="15.75" customHeight="1" s="106"/>
    <row r="871" ht="15.75" customHeight="1" s="106"/>
    <row r="872" ht="15.75" customHeight="1" s="106"/>
    <row r="873" ht="15.75" customHeight="1" s="106"/>
    <row r="874" ht="15.75" customHeight="1" s="106"/>
    <row r="875" ht="15.75" customHeight="1" s="106"/>
    <row r="876" ht="15.75" customHeight="1" s="106"/>
    <row r="877" ht="15.75" customHeight="1" s="106"/>
    <row r="878" ht="15.75" customHeight="1" s="106"/>
    <row r="879" ht="15.75" customHeight="1" s="106"/>
    <row r="880" ht="15.75" customHeight="1" s="106"/>
    <row r="881" ht="15.75" customHeight="1" s="106"/>
    <row r="882" ht="15.75" customHeight="1" s="106"/>
    <row r="883" ht="15.75" customHeight="1" s="106"/>
    <row r="884" ht="15.75" customHeight="1" s="106"/>
    <row r="885" ht="15.75" customHeight="1" s="106"/>
    <row r="886" ht="15.75" customHeight="1" s="106"/>
    <row r="887" ht="15.75" customHeight="1" s="106"/>
    <row r="888" ht="15.75" customHeight="1" s="106"/>
    <row r="889" ht="15.75" customHeight="1" s="106"/>
    <row r="890" ht="15.75" customHeight="1" s="106"/>
    <row r="891" ht="15.75" customHeight="1" s="106"/>
    <row r="892" ht="15.75" customHeight="1" s="106"/>
    <row r="893" ht="15.75" customHeight="1" s="106"/>
    <row r="894" ht="15.75" customHeight="1" s="106"/>
    <row r="895" ht="15.75" customHeight="1" s="106"/>
    <row r="896" ht="15.75" customHeight="1" s="106"/>
    <row r="897" ht="15.75" customHeight="1" s="106"/>
    <row r="898" ht="15.75" customHeight="1" s="106"/>
    <row r="899" ht="15.75" customHeight="1" s="106"/>
    <row r="900" ht="15.75" customHeight="1" s="106"/>
    <row r="901" ht="15.75" customHeight="1" s="106"/>
    <row r="902" ht="15.75" customHeight="1" s="106"/>
    <row r="903" ht="15.75" customHeight="1" s="106"/>
    <row r="904" ht="15.75" customHeight="1" s="106"/>
    <row r="905" ht="15.75" customHeight="1" s="106"/>
    <row r="906" ht="15.75" customHeight="1" s="106"/>
    <row r="907" ht="15.75" customHeight="1" s="106"/>
    <row r="908" ht="15.75" customHeight="1" s="106"/>
    <row r="909" ht="15.75" customHeight="1" s="106"/>
    <row r="910" ht="15.75" customHeight="1" s="106"/>
    <row r="911" ht="15.75" customHeight="1" s="106"/>
    <row r="912" ht="15.75" customHeight="1" s="106"/>
    <row r="913" ht="15.75" customHeight="1" s="106"/>
    <row r="914" ht="15.75" customHeight="1" s="106"/>
    <row r="915" ht="15.75" customHeight="1" s="106"/>
    <row r="916" ht="15.75" customHeight="1" s="106"/>
    <row r="917" ht="15.75" customHeight="1" s="106"/>
    <row r="918" ht="15.75" customHeight="1" s="106"/>
    <row r="919" ht="15.75" customHeight="1" s="106"/>
    <row r="920" ht="15.75" customHeight="1" s="106"/>
    <row r="921" ht="15.75" customHeight="1" s="106"/>
    <row r="922" ht="15.75" customHeight="1" s="106"/>
    <row r="923" ht="15.75" customHeight="1" s="106"/>
    <row r="924" ht="15.75" customHeight="1" s="106"/>
    <row r="925" ht="15.75" customHeight="1" s="106"/>
    <row r="926" ht="15.75" customHeight="1" s="106"/>
    <row r="927" ht="15.75" customHeight="1" s="106"/>
    <row r="928" ht="15.75" customHeight="1" s="106"/>
    <row r="929" ht="15.75" customHeight="1" s="106"/>
    <row r="930" ht="15.75" customHeight="1" s="106"/>
    <row r="931" ht="15.75" customHeight="1" s="106"/>
    <row r="932" ht="15.75" customHeight="1" s="106"/>
    <row r="933" ht="15.75" customHeight="1" s="106"/>
    <row r="934" ht="15.75" customHeight="1" s="106"/>
    <row r="935" ht="15.75" customHeight="1" s="106"/>
    <row r="936" ht="15.75" customHeight="1" s="106"/>
    <row r="937" ht="15.75" customHeight="1" s="106"/>
    <row r="938" ht="15.75" customHeight="1" s="106"/>
    <row r="939" ht="15.75" customHeight="1" s="106"/>
    <row r="940" ht="15.75" customHeight="1" s="106"/>
    <row r="941" ht="15.75" customHeight="1" s="106"/>
    <row r="942" ht="15.75" customHeight="1" s="106"/>
    <row r="943" ht="15.75" customHeight="1" s="106"/>
    <row r="944" ht="15.75" customHeight="1" s="106"/>
    <row r="945" ht="15.75" customHeight="1" s="106"/>
    <row r="946" ht="15.75" customHeight="1" s="106"/>
    <row r="947" ht="15.75" customHeight="1" s="106"/>
    <row r="948" ht="15.75" customHeight="1" s="106"/>
    <row r="949" ht="15.75" customHeight="1" s="106"/>
    <row r="950" ht="15.75" customHeight="1" s="106"/>
    <row r="951" ht="15.75" customHeight="1" s="106"/>
    <row r="952" ht="15.75" customHeight="1" s="106"/>
    <row r="953" ht="15.75" customHeight="1" s="106"/>
    <row r="954" ht="15.75" customHeight="1" s="106"/>
    <row r="955" ht="15.75" customHeight="1" s="106"/>
    <row r="956" ht="15.75" customHeight="1" s="106"/>
    <row r="957" ht="15.75" customHeight="1" s="106"/>
    <row r="958" ht="15.75" customHeight="1" s="106"/>
    <row r="959" ht="15.75" customHeight="1" s="106"/>
    <row r="960" ht="15.75" customHeight="1" s="106"/>
    <row r="961" ht="15.75" customHeight="1" s="106"/>
    <row r="962" ht="15.75" customHeight="1" s="106"/>
    <row r="963" ht="15.75" customHeight="1" s="106"/>
    <row r="964" ht="15.75" customHeight="1" s="106"/>
    <row r="965" ht="15.75" customHeight="1" s="106"/>
    <row r="966" ht="15.75" customHeight="1" s="106"/>
    <row r="967" ht="15.75" customHeight="1" s="106"/>
    <row r="968" ht="15.75" customHeight="1" s="106"/>
    <row r="969" ht="15.75" customHeight="1" s="106"/>
    <row r="970" ht="15.75" customHeight="1" s="106"/>
    <row r="971" ht="15.75" customHeight="1" s="106"/>
    <row r="972" ht="15.75" customHeight="1" s="106"/>
    <row r="973" ht="15.75" customHeight="1" s="106"/>
    <row r="974" ht="15.75" customHeight="1" s="106"/>
    <row r="975" ht="15.75" customHeight="1" s="106"/>
    <row r="976" ht="15.75" customHeight="1" s="106"/>
    <row r="977" ht="15.75" customHeight="1" s="106"/>
    <row r="978" ht="15.75" customHeight="1" s="106"/>
    <row r="979" ht="15.75" customHeight="1" s="106"/>
    <row r="980" ht="15.75" customHeight="1" s="106"/>
    <row r="981" ht="15.75" customHeight="1" s="106"/>
    <row r="982" ht="15.75" customHeight="1" s="106"/>
    <row r="983" ht="15.75" customHeight="1" s="106"/>
    <row r="984" ht="15.75" customHeight="1" s="106"/>
    <row r="985" ht="15.75" customHeight="1" s="106"/>
    <row r="986" ht="15.75" customHeight="1" s="106"/>
    <row r="987" ht="15.75" customHeight="1" s="106"/>
    <row r="988" ht="15.75" customHeight="1" s="106"/>
    <row r="989" ht="15.75" customHeight="1" s="106"/>
    <row r="990" ht="15.75" customHeight="1" s="106"/>
    <row r="991" ht="15.75" customHeight="1" s="106"/>
    <row r="992" ht="15.75" customHeight="1" s="106"/>
    <row r="993" ht="15.75" customHeight="1" s="106"/>
    <row r="994" ht="15.75" customHeight="1" s="106"/>
    <row r="995" ht="15.75" customHeight="1" s="106"/>
    <row r="996" ht="15.75" customHeight="1" s="106"/>
    <row r="997" ht="15.75" customHeight="1" s="106"/>
    <row r="998" ht="15.75" customHeight="1" s="106"/>
    <row r="999" ht="15.75" customHeight="1" s="106"/>
    <row r="1000" ht="15.75" customHeight="1" s="106"/>
  </sheetData>
  <mergeCells count="5">
    <mergeCell ref="B46:E47"/>
    <mergeCell ref="B3:E7"/>
    <mergeCell ref="B9:D9"/>
    <mergeCell ref="B2:E2"/>
    <mergeCell ref="B20:D20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B23"/>
  <sheetViews>
    <sheetView workbookViewId="0">
      <selection activeCell="A1" sqref="A1"/>
    </sheetView>
  </sheetViews>
  <sheetFormatPr baseColWidth="8" defaultColWidth="14.43" defaultRowHeight="15" customHeight="1" outlineLevelCol="0"/>
  <cols>
    <col width="3" customWidth="1" style="106" min="1" max="1"/>
    <col width="120" customWidth="1" style="106" min="2" max="2"/>
    <col width="8.710000000000001" customWidth="1" style="106" min="3" max="26"/>
  </cols>
  <sheetData>
    <row r="2">
      <c r="B2" s="1" t="inlineStr">
        <is>
          <t>Как работать с файлом</t>
        </is>
      </c>
    </row>
    <row r="4">
      <c r="B4" s="93" t="inlineStr">
        <is>
          <t>ГЛАВНЫЙ КОНТУР (для цены КП):</t>
        </is>
      </c>
    </row>
    <row r="5">
      <c r="B5" s="101" t="inlineStr">
        <is>
          <t>1. «Параметры» — % менеджера, целевая/мин. маржа, НПД, аренда/день, бренд/контакты.</t>
        </is>
      </c>
    </row>
    <row r="6">
      <c r="B6" s="101" t="inlineStr">
        <is>
          <t>2. «Металл» — кол-во штанг проката (шт = 6 м), плюс плазма/ковка/токарка/комплектующие. На все эти блоки — наценка менеджера.</t>
        </is>
      </c>
    </row>
    <row r="7">
      <c r="B7" s="101" t="inlineStr">
        <is>
          <t>3. «Калькуляция» — количества по этапам (дни, рейсы, материалы).</t>
        </is>
      </c>
    </row>
    <row r="8">
      <c r="B8" s="101" t="inlineStr">
        <is>
          <t>4. «Сводка» — смотрите рекомендуемую цену, впишите Цену КП в жёлтую ячейку, проверьте статус.</t>
        </is>
      </c>
    </row>
    <row r="9">
      <c r="B9" s="101" t="inlineStr">
        <is>
          <t>5. «Предложение» — лендинг-КП в стиле Cenzyk: hero, фото, 5 блоков, жёлтый ИТОГО, СЗ, условия, контакты.</t>
        </is>
      </c>
    </row>
    <row r="10">
      <c r="B10" s="101" t="n"/>
    </row>
    <row r="11">
      <c r="B11" s="93" t="inlineStr">
        <is>
          <t>КАК ОТПРАВИТЬ КЛИЕНТУ (не скриншот Excel):</t>
        </is>
      </c>
    </row>
    <row r="12">
      <c r="B12" s="101" t="inlineStr">
        <is>
          <t>• На «Предложении» проверьте доли (итог 100%) и статус «сходится» со Сводкой.</t>
        </is>
      </c>
    </row>
    <row r="13">
      <c r="B13" s="101" t="inlineStr">
        <is>
          <t>• Вставьте 3 ракурса 1024×1024 (фронт / 3⁄4 / сбоку) на «Предложении».</t>
        </is>
      </c>
    </row>
    <row r="14">
      <c r="B14" s="101" t="inlineStr">
        <is>
          <t>• Файл → Экспорт → Создать PDF/XPS (или Печать → Microsoft Print to PDF) — только лист «Предложение».</t>
        </is>
      </c>
    </row>
    <row r="15">
      <c r="B15" s="101" t="inlineStr">
        <is>
          <t>• В WhatsApp / почту: PDF + 2–4 картинки рендеров (папки «под предложение 1024×1024»).</t>
        </is>
      </c>
    </row>
    <row r="16">
      <c r="B16" s="101" t="inlineStr">
        <is>
          <t>• После согласия — договор (.odt/.docx). КП договор не заменяет.</t>
        </is>
      </c>
    </row>
    <row r="17">
      <c r="B17" s="101" t="n"/>
    </row>
    <row r="18">
      <c r="B18" s="93" t="inlineStr">
        <is>
          <t>КАССА — НЕ ДЛЯ РАСЧЁТА ЦЕНЫ:</t>
        </is>
      </c>
    </row>
    <row r="19">
      <c r="B19" s="101" t="inlineStr">
        <is>
          <t>• Нужна после сделки: авансы клиента и факт выплат (металл, ЗП, транспорт).</t>
        </is>
      </c>
    </row>
    <row r="20">
      <c r="B20" s="101" t="inlineStr">
        <is>
          <t>• Пока готовите КП — лист Касса можно не открывать.</t>
        </is>
      </c>
    </row>
    <row r="21" ht="15.75" customHeight="1" s="106">
      <c r="B21" s="101" t="n"/>
    </row>
    <row r="22" ht="15.75" customHeight="1" s="106">
      <c r="B22" s="101" t="inlineStr">
        <is>
          <t>Типы изделий: Ворота, Забор, Лестница, Мебель, Интерьер, Экстерьер, Сувенир, Прочее.</t>
        </is>
      </c>
    </row>
    <row r="23" ht="15.75" customHeight="1" s="106">
      <c r="B23" s="101" t="inlineStr">
        <is>
          <t>В шапке Сводки: Клиент + № клиента.</t>
        </is>
      </c>
    </row>
    <row r="24" ht="15.75" customHeight="1" s="106"/>
    <row r="25" ht="15.75" customHeight="1" s="106"/>
    <row r="26" ht="15.75" customHeight="1" s="106"/>
    <row r="27" ht="15.75" customHeight="1" s="106"/>
    <row r="28" ht="15.75" customHeight="1" s="106"/>
    <row r="29" ht="15.75" customHeight="1" s="106"/>
    <row r="30" ht="15.75" customHeight="1" s="106"/>
    <row r="31" ht="15.75" customHeight="1" s="106"/>
    <row r="32" ht="15.75" customHeight="1" s="106"/>
    <row r="33" ht="15.75" customHeight="1" s="106"/>
    <row r="34" ht="15.75" customHeight="1" s="106"/>
    <row r="35" ht="15.75" customHeight="1" s="106"/>
    <row r="36" ht="15.75" customHeight="1" s="106"/>
    <row r="37" ht="15.75" customHeight="1" s="106"/>
    <row r="38" ht="15.75" customHeight="1" s="106"/>
    <row r="39" ht="15.75" customHeight="1" s="106"/>
    <row r="40" ht="15.75" customHeight="1" s="106"/>
    <row r="41" ht="15.75" customHeight="1" s="106"/>
    <row r="42" ht="15.75" customHeight="1" s="106"/>
    <row r="43" ht="15.75" customHeight="1" s="106"/>
    <row r="44" ht="15.75" customHeight="1" s="106"/>
    <row r="45" ht="15.75" customHeight="1" s="106"/>
    <row r="46" ht="15.75" customHeight="1" s="106"/>
    <row r="47" ht="15.75" customHeight="1" s="106"/>
    <row r="48" ht="15.75" customHeight="1" s="106"/>
    <row r="49" ht="15.75" customHeight="1" s="106"/>
    <row r="50" ht="15.75" customHeight="1" s="106"/>
    <row r="51" ht="15.75" customHeight="1" s="106"/>
    <row r="52" ht="15.75" customHeight="1" s="106"/>
    <row r="53" ht="15.75" customHeight="1" s="106"/>
    <row r="54" ht="15.75" customHeight="1" s="106"/>
    <row r="55" ht="15.75" customHeight="1" s="106"/>
    <row r="56" ht="15.75" customHeight="1" s="106"/>
    <row r="57" ht="15.75" customHeight="1" s="106"/>
    <row r="58" ht="15.75" customHeight="1" s="106"/>
    <row r="59" ht="15.75" customHeight="1" s="106"/>
    <row r="60" ht="15.75" customHeight="1" s="106"/>
    <row r="61" ht="15.75" customHeight="1" s="106"/>
    <row r="62" ht="15.75" customHeight="1" s="106"/>
    <row r="63" ht="15.75" customHeight="1" s="106"/>
    <row r="64" ht="15.75" customHeight="1" s="106"/>
    <row r="65" ht="15.75" customHeight="1" s="106"/>
    <row r="66" ht="15.75" customHeight="1" s="106"/>
    <row r="67" ht="15.75" customHeight="1" s="106"/>
    <row r="68" ht="15.75" customHeight="1" s="106"/>
    <row r="69" ht="15.75" customHeight="1" s="106"/>
    <row r="70" ht="15.75" customHeight="1" s="106"/>
    <row r="71" ht="15.75" customHeight="1" s="106"/>
    <row r="72" ht="15.75" customHeight="1" s="106"/>
    <row r="73" ht="15.75" customHeight="1" s="106"/>
    <row r="74" ht="15.75" customHeight="1" s="106"/>
    <row r="75" ht="15.75" customHeight="1" s="106"/>
    <row r="76" ht="15.75" customHeight="1" s="106"/>
    <row r="77" ht="15.75" customHeight="1" s="106"/>
    <row r="78" ht="15.75" customHeight="1" s="106"/>
    <row r="79" ht="15.75" customHeight="1" s="106"/>
    <row r="80" ht="15.75" customHeight="1" s="106"/>
    <row r="81" ht="15.75" customHeight="1" s="106"/>
    <row r="82" ht="15.75" customHeight="1" s="106"/>
    <row r="83" ht="15.75" customHeight="1" s="106"/>
    <row r="84" ht="15.75" customHeight="1" s="106"/>
    <row r="85" ht="15.75" customHeight="1" s="106"/>
    <row r="86" ht="15.75" customHeight="1" s="106"/>
    <row r="87" ht="15.75" customHeight="1" s="106"/>
    <row r="88" ht="15.75" customHeight="1" s="106"/>
    <row r="89" ht="15.75" customHeight="1" s="106"/>
    <row r="90" ht="15.75" customHeight="1" s="106"/>
    <row r="91" ht="15.75" customHeight="1" s="106"/>
    <row r="92" ht="15.75" customHeight="1" s="106"/>
    <row r="93" ht="15.75" customHeight="1" s="106"/>
    <row r="94" ht="15.75" customHeight="1" s="106"/>
    <row r="95" ht="15.75" customHeight="1" s="106"/>
    <row r="96" ht="15.75" customHeight="1" s="106"/>
    <row r="97" ht="15.75" customHeight="1" s="106"/>
    <row r="98" ht="15.75" customHeight="1" s="106"/>
    <row r="99" ht="15.75" customHeight="1" s="106"/>
    <row r="100" ht="15.75" customHeight="1" s="106"/>
    <row r="101" ht="15.75" customHeight="1" s="106"/>
    <row r="102" ht="15.75" customHeight="1" s="106"/>
    <row r="103" ht="15.75" customHeight="1" s="106"/>
    <row r="104" ht="15.75" customHeight="1" s="106"/>
    <row r="105" ht="15.75" customHeight="1" s="106"/>
    <row r="106" ht="15.75" customHeight="1" s="106"/>
    <row r="107" ht="15.75" customHeight="1" s="106"/>
    <row r="108" ht="15.75" customHeight="1" s="106"/>
    <row r="109" ht="15.75" customHeight="1" s="106"/>
    <row r="110" ht="15.75" customHeight="1" s="106"/>
    <row r="111" ht="15.75" customHeight="1" s="106"/>
    <row r="112" ht="15.75" customHeight="1" s="106"/>
    <row r="113" ht="15.75" customHeight="1" s="106"/>
    <row r="114" ht="15.75" customHeight="1" s="106"/>
    <row r="115" ht="15.75" customHeight="1" s="106"/>
    <row r="116" ht="15.75" customHeight="1" s="106"/>
    <row r="117" ht="15.75" customHeight="1" s="106"/>
    <row r="118" ht="15.75" customHeight="1" s="106"/>
    <row r="119" ht="15.75" customHeight="1" s="106"/>
    <row r="120" ht="15.75" customHeight="1" s="106"/>
    <row r="121" ht="15.75" customHeight="1" s="106"/>
    <row r="122" ht="15.75" customHeight="1" s="106"/>
    <row r="123" ht="15.75" customHeight="1" s="106"/>
    <row r="124" ht="15.75" customHeight="1" s="106"/>
    <row r="125" ht="15.75" customHeight="1" s="106"/>
    <row r="126" ht="15.75" customHeight="1" s="106"/>
    <row r="127" ht="15.75" customHeight="1" s="106"/>
    <row r="128" ht="15.75" customHeight="1" s="106"/>
    <row r="129" ht="15.75" customHeight="1" s="106"/>
    <row r="130" ht="15.75" customHeight="1" s="106"/>
    <row r="131" ht="15.75" customHeight="1" s="106"/>
    <row r="132" ht="15.75" customHeight="1" s="106"/>
    <row r="133" ht="15.75" customHeight="1" s="106"/>
    <row r="134" ht="15.75" customHeight="1" s="106"/>
    <row r="135" ht="15.75" customHeight="1" s="106"/>
    <row r="136" ht="15.75" customHeight="1" s="106"/>
    <row r="137" ht="15.75" customHeight="1" s="106"/>
    <row r="138" ht="15.75" customHeight="1" s="106"/>
    <row r="139" ht="15.75" customHeight="1" s="106"/>
    <row r="140" ht="15.75" customHeight="1" s="106"/>
    <row r="141" ht="15.75" customHeight="1" s="106"/>
    <row r="142" ht="15.75" customHeight="1" s="106"/>
    <row r="143" ht="15.75" customHeight="1" s="106"/>
    <row r="144" ht="15.75" customHeight="1" s="106"/>
    <row r="145" ht="15.75" customHeight="1" s="106"/>
    <row r="146" ht="15.75" customHeight="1" s="106"/>
    <row r="147" ht="15.75" customHeight="1" s="106"/>
    <row r="148" ht="15.75" customHeight="1" s="106"/>
    <row r="149" ht="15.75" customHeight="1" s="106"/>
    <row r="150" ht="15.75" customHeight="1" s="106"/>
    <row r="151" ht="15.75" customHeight="1" s="106"/>
    <row r="152" ht="15.75" customHeight="1" s="106"/>
    <row r="153" ht="15.75" customHeight="1" s="106"/>
    <row r="154" ht="15.75" customHeight="1" s="106"/>
    <row r="155" ht="15.75" customHeight="1" s="106"/>
    <row r="156" ht="15.75" customHeight="1" s="106"/>
    <row r="157" ht="15.75" customHeight="1" s="106"/>
    <row r="158" ht="15.75" customHeight="1" s="106"/>
    <row r="159" ht="15.75" customHeight="1" s="106"/>
    <row r="160" ht="15.75" customHeight="1" s="106"/>
    <row r="161" ht="15.75" customHeight="1" s="106"/>
    <row r="162" ht="15.75" customHeight="1" s="106"/>
    <row r="163" ht="15.75" customHeight="1" s="106"/>
    <row r="164" ht="15.75" customHeight="1" s="106"/>
    <row r="165" ht="15.75" customHeight="1" s="106"/>
    <row r="166" ht="15.75" customHeight="1" s="106"/>
    <row r="167" ht="15.75" customHeight="1" s="106"/>
    <row r="168" ht="15.75" customHeight="1" s="106"/>
    <row r="169" ht="15.75" customHeight="1" s="106"/>
    <row r="170" ht="15.75" customHeight="1" s="106"/>
    <row r="171" ht="15.75" customHeight="1" s="106"/>
    <row r="172" ht="15.75" customHeight="1" s="106"/>
    <row r="173" ht="15.75" customHeight="1" s="106"/>
    <row r="174" ht="15.75" customHeight="1" s="106"/>
    <row r="175" ht="15.75" customHeight="1" s="106"/>
    <row r="176" ht="15.75" customHeight="1" s="106"/>
    <row r="177" ht="15.75" customHeight="1" s="106"/>
    <row r="178" ht="15.75" customHeight="1" s="106"/>
    <row r="179" ht="15.75" customHeight="1" s="106"/>
    <row r="180" ht="15.75" customHeight="1" s="106"/>
    <row r="181" ht="15.75" customHeight="1" s="106"/>
    <row r="182" ht="15.75" customHeight="1" s="106"/>
    <row r="183" ht="15.75" customHeight="1" s="106"/>
    <row r="184" ht="15.75" customHeight="1" s="106"/>
    <row r="185" ht="15.75" customHeight="1" s="106"/>
    <row r="186" ht="15.75" customHeight="1" s="106"/>
    <row r="187" ht="15.75" customHeight="1" s="106"/>
    <row r="188" ht="15.75" customHeight="1" s="106"/>
    <row r="189" ht="15.75" customHeight="1" s="106"/>
    <row r="190" ht="15.75" customHeight="1" s="106"/>
    <row r="191" ht="15.75" customHeight="1" s="106"/>
    <row r="192" ht="15.75" customHeight="1" s="106"/>
    <row r="193" ht="15.75" customHeight="1" s="106"/>
    <row r="194" ht="15.75" customHeight="1" s="106"/>
    <row r="195" ht="15.75" customHeight="1" s="106"/>
    <row r="196" ht="15.75" customHeight="1" s="106"/>
    <row r="197" ht="15.75" customHeight="1" s="106"/>
    <row r="198" ht="15.75" customHeight="1" s="106"/>
    <row r="199" ht="15.75" customHeight="1" s="106"/>
    <row r="200" ht="15.75" customHeight="1" s="106"/>
    <row r="201" ht="15.75" customHeight="1" s="106"/>
    <row r="202" ht="15.75" customHeight="1" s="106"/>
    <row r="203" ht="15.75" customHeight="1" s="106"/>
    <row r="204" ht="15.75" customHeight="1" s="106"/>
    <row r="205" ht="15.75" customHeight="1" s="106"/>
    <row r="206" ht="15.75" customHeight="1" s="106"/>
    <row r="207" ht="15.75" customHeight="1" s="106"/>
    <row r="208" ht="15.75" customHeight="1" s="106"/>
    <row r="209" ht="15.75" customHeight="1" s="106"/>
    <row r="210" ht="15.75" customHeight="1" s="106"/>
    <row r="211" ht="15.75" customHeight="1" s="106"/>
    <row r="212" ht="15.75" customHeight="1" s="106"/>
    <row r="213" ht="15.75" customHeight="1" s="106"/>
    <row r="214" ht="15.75" customHeight="1" s="106"/>
    <row r="215" ht="15.75" customHeight="1" s="106"/>
    <row r="216" ht="15.75" customHeight="1" s="106"/>
    <row r="217" ht="15.75" customHeight="1" s="106"/>
    <row r="218" ht="15.75" customHeight="1" s="106"/>
    <row r="219" ht="15.75" customHeight="1" s="106"/>
    <row r="220" ht="15.75" customHeight="1" s="106"/>
    <row r="221" ht="15.75" customHeight="1" s="106"/>
    <row r="222" ht="15.75" customHeight="1" s="106"/>
    <row r="223" ht="15.75" customHeight="1" s="106"/>
    <row r="224" ht="15.75" customHeight="1" s="106"/>
    <row r="225" ht="15.75" customHeight="1" s="106"/>
    <row r="226" ht="15.75" customHeight="1" s="106"/>
    <row r="227" ht="15.75" customHeight="1" s="106"/>
    <row r="228" ht="15.75" customHeight="1" s="106"/>
    <row r="229" ht="15.75" customHeight="1" s="106"/>
    <row r="230" ht="15.75" customHeight="1" s="106"/>
    <row r="231" ht="15.75" customHeight="1" s="106"/>
    <row r="232" ht="15.75" customHeight="1" s="106"/>
    <row r="233" ht="15.75" customHeight="1" s="106"/>
    <row r="234" ht="15.75" customHeight="1" s="106"/>
    <row r="235" ht="15.75" customHeight="1" s="106"/>
    <row r="236" ht="15.75" customHeight="1" s="106"/>
    <row r="237" ht="15.75" customHeight="1" s="106"/>
    <row r="238" ht="15.75" customHeight="1" s="106"/>
    <row r="239" ht="15.75" customHeight="1" s="106"/>
    <row r="240" ht="15.75" customHeight="1" s="106"/>
    <row r="241" ht="15.75" customHeight="1" s="106"/>
    <row r="242" ht="15.75" customHeight="1" s="106"/>
    <row r="243" ht="15.75" customHeight="1" s="106"/>
    <row r="244" ht="15.75" customHeight="1" s="106"/>
    <row r="245" ht="15.75" customHeight="1" s="106"/>
    <row r="246" ht="15.75" customHeight="1" s="106"/>
    <row r="247" ht="15.75" customHeight="1" s="106"/>
    <row r="248" ht="15.75" customHeight="1" s="106"/>
    <row r="249" ht="15.75" customHeight="1" s="106"/>
    <row r="250" ht="15.75" customHeight="1" s="106"/>
    <row r="251" ht="15.75" customHeight="1" s="106"/>
    <row r="252" ht="15.75" customHeight="1" s="106"/>
    <row r="253" ht="15.75" customHeight="1" s="106"/>
    <row r="254" ht="15.75" customHeight="1" s="106"/>
    <row r="255" ht="15.75" customHeight="1" s="106"/>
    <row r="256" ht="15.75" customHeight="1" s="106"/>
    <row r="257" ht="15.75" customHeight="1" s="106"/>
    <row r="258" ht="15.75" customHeight="1" s="106"/>
    <row r="259" ht="15.75" customHeight="1" s="106"/>
    <row r="260" ht="15.75" customHeight="1" s="106"/>
    <row r="261" ht="15.75" customHeight="1" s="106"/>
    <row r="262" ht="15.75" customHeight="1" s="106"/>
    <row r="263" ht="15.75" customHeight="1" s="106"/>
    <row r="264" ht="15.75" customHeight="1" s="106"/>
    <row r="265" ht="15.75" customHeight="1" s="106"/>
    <row r="266" ht="15.75" customHeight="1" s="106"/>
    <row r="267" ht="15.75" customHeight="1" s="106"/>
    <row r="268" ht="15.75" customHeight="1" s="106"/>
    <row r="269" ht="15.75" customHeight="1" s="106"/>
    <row r="270" ht="15.75" customHeight="1" s="106"/>
    <row r="271" ht="15.75" customHeight="1" s="106"/>
    <row r="272" ht="15.75" customHeight="1" s="106"/>
    <row r="273" ht="15.75" customHeight="1" s="106"/>
    <row r="274" ht="15.75" customHeight="1" s="106"/>
    <row r="275" ht="15.75" customHeight="1" s="106"/>
    <row r="276" ht="15.75" customHeight="1" s="106"/>
    <row r="277" ht="15.75" customHeight="1" s="106"/>
    <row r="278" ht="15.75" customHeight="1" s="106"/>
    <row r="279" ht="15.75" customHeight="1" s="106"/>
    <row r="280" ht="15.75" customHeight="1" s="106"/>
    <row r="281" ht="15.75" customHeight="1" s="106"/>
    <row r="282" ht="15.75" customHeight="1" s="106"/>
    <row r="283" ht="15.75" customHeight="1" s="106"/>
    <row r="284" ht="15.75" customHeight="1" s="106"/>
    <row r="285" ht="15.75" customHeight="1" s="106"/>
    <row r="286" ht="15.75" customHeight="1" s="106"/>
    <row r="287" ht="15.75" customHeight="1" s="106"/>
    <row r="288" ht="15.75" customHeight="1" s="106"/>
    <row r="289" ht="15.75" customHeight="1" s="106"/>
    <row r="290" ht="15.75" customHeight="1" s="106"/>
    <row r="291" ht="15.75" customHeight="1" s="106"/>
    <row r="292" ht="15.75" customHeight="1" s="106"/>
    <row r="293" ht="15.75" customHeight="1" s="106"/>
    <row r="294" ht="15.75" customHeight="1" s="106"/>
    <row r="295" ht="15.75" customHeight="1" s="106"/>
    <row r="296" ht="15.75" customHeight="1" s="106"/>
    <row r="297" ht="15.75" customHeight="1" s="106"/>
    <row r="298" ht="15.75" customHeight="1" s="106"/>
    <row r="299" ht="15.75" customHeight="1" s="106"/>
    <row r="300" ht="15.75" customHeight="1" s="106"/>
    <row r="301" ht="15.75" customHeight="1" s="106"/>
    <row r="302" ht="15.75" customHeight="1" s="106"/>
    <row r="303" ht="15.75" customHeight="1" s="106"/>
    <row r="304" ht="15.75" customHeight="1" s="106"/>
    <row r="305" ht="15.75" customHeight="1" s="106"/>
    <row r="306" ht="15.75" customHeight="1" s="106"/>
    <row r="307" ht="15.75" customHeight="1" s="106"/>
    <row r="308" ht="15.75" customHeight="1" s="106"/>
    <row r="309" ht="15.75" customHeight="1" s="106"/>
    <row r="310" ht="15.75" customHeight="1" s="106"/>
    <row r="311" ht="15.75" customHeight="1" s="106"/>
    <row r="312" ht="15.75" customHeight="1" s="106"/>
    <row r="313" ht="15.75" customHeight="1" s="106"/>
    <row r="314" ht="15.75" customHeight="1" s="106"/>
    <row r="315" ht="15.75" customHeight="1" s="106"/>
    <row r="316" ht="15.75" customHeight="1" s="106"/>
    <row r="317" ht="15.75" customHeight="1" s="106"/>
    <row r="318" ht="15.75" customHeight="1" s="106"/>
    <row r="319" ht="15.75" customHeight="1" s="106"/>
    <row r="320" ht="15.75" customHeight="1" s="106"/>
    <row r="321" ht="15.75" customHeight="1" s="106"/>
    <row r="322" ht="15.75" customHeight="1" s="106"/>
    <row r="323" ht="15.75" customHeight="1" s="106"/>
    <row r="324" ht="15.75" customHeight="1" s="106"/>
    <row r="325" ht="15.75" customHeight="1" s="106"/>
    <row r="326" ht="15.75" customHeight="1" s="106"/>
    <row r="327" ht="15.75" customHeight="1" s="106"/>
    <row r="328" ht="15.75" customHeight="1" s="106"/>
    <row r="329" ht="15.75" customHeight="1" s="106"/>
    <row r="330" ht="15.75" customHeight="1" s="106"/>
    <row r="331" ht="15.75" customHeight="1" s="106"/>
    <row r="332" ht="15.75" customHeight="1" s="106"/>
    <row r="333" ht="15.75" customHeight="1" s="106"/>
    <row r="334" ht="15.75" customHeight="1" s="106"/>
    <row r="335" ht="15.75" customHeight="1" s="106"/>
    <row r="336" ht="15.75" customHeight="1" s="106"/>
    <row r="337" ht="15.75" customHeight="1" s="106"/>
    <row r="338" ht="15.75" customHeight="1" s="106"/>
    <row r="339" ht="15.75" customHeight="1" s="106"/>
    <row r="340" ht="15.75" customHeight="1" s="106"/>
    <row r="341" ht="15.75" customHeight="1" s="106"/>
    <row r="342" ht="15.75" customHeight="1" s="106"/>
    <row r="343" ht="15.75" customHeight="1" s="106"/>
    <row r="344" ht="15.75" customHeight="1" s="106"/>
    <row r="345" ht="15.75" customHeight="1" s="106"/>
    <row r="346" ht="15.75" customHeight="1" s="106"/>
    <row r="347" ht="15.75" customHeight="1" s="106"/>
    <row r="348" ht="15.75" customHeight="1" s="106"/>
    <row r="349" ht="15.75" customHeight="1" s="106"/>
    <row r="350" ht="15.75" customHeight="1" s="106"/>
    <row r="351" ht="15.75" customHeight="1" s="106"/>
    <row r="352" ht="15.75" customHeight="1" s="106"/>
    <row r="353" ht="15.75" customHeight="1" s="106"/>
    <row r="354" ht="15.75" customHeight="1" s="106"/>
    <row r="355" ht="15.75" customHeight="1" s="106"/>
    <row r="356" ht="15.75" customHeight="1" s="106"/>
    <row r="357" ht="15.75" customHeight="1" s="106"/>
    <row r="358" ht="15.75" customHeight="1" s="106"/>
    <row r="359" ht="15.75" customHeight="1" s="106"/>
    <row r="360" ht="15.75" customHeight="1" s="106"/>
    <row r="361" ht="15.75" customHeight="1" s="106"/>
    <row r="362" ht="15.75" customHeight="1" s="106"/>
    <row r="363" ht="15.75" customHeight="1" s="106"/>
    <row r="364" ht="15.75" customHeight="1" s="106"/>
    <row r="365" ht="15.75" customHeight="1" s="106"/>
    <row r="366" ht="15.75" customHeight="1" s="106"/>
    <row r="367" ht="15.75" customHeight="1" s="106"/>
    <row r="368" ht="15.75" customHeight="1" s="106"/>
    <row r="369" ht="15.75" customHeight="1" s="106"/>
    <row r="370" ht="15.75" customHeight="1" s="106"/>
    <row r="371" ht="15.75" customHeight="1" s="106"/>
    <row r="372" ht="15.75" customHeight="1" s="106"/>
    <row r="373" ht="15.75" customHeight="1" s="106"/>
    <row r="374" ht="15.75" customHeight="1" s="106"/>
    <row r="375" ht="15.75" customHeight="1" s="106"/>
    <row r="376" ht="15.75" customHeight="1" s="106"/>
    <row r="377" ht="15.75" customHeight="1" s="106"/>
    <row r="378" ht="15.75" customHeight="1" s="106"/>
    <row r="379" ht="15.75" customHeight="1" s="106"/>
    <row r="380" ht="15.75" customHeight="1" s="106"/>
    <row r="381" ht="15.75" customHeight="1" s="106"/>
    <row r="382" ht="15.75" customHeight="1" s="106"/>
    <row r="383" ht="15.75" customHeight="1" s="106"/>
    <row r="384" ht="15.75" customHeight="1" s="106"/>
    <row r="385" ht="15.75" customHeight="1" s="106"/>
    <row r="386" ht="15.75" customHeight="1" s="106"/>
    <row r="387" ht="15.75" customHeight="1" s="106"/>
    <row r="388" ht="15.75" customHeight="1" s="106"/>
    <row r="389" ht="15.75" customHeight="1" s="106"/>
    <row r="390" ht="15.75" customHeight="1" s="106"/>
    <row r="391" ht="15.75" customHeight="1" s="106"/>
    <row r="392" ht="15.75" customHeight="1" s="106"/>
    <row r="393" ht="15.75" customHeight="1" s="106"/>
    <row r="394" ht="15.75" customHeight="1" s="106"/>
    <row r="395" ht="15.75" customHeight="1" s="106"/>
    <row r="396" ht="15.75" customHeight="1" s="106"/>
    <row r="397" ht="15.75" customHeight="1" s="106"/>
    <row r="398" ht="15.75" customHeight="1" s="106"/>
    <row r="399" ht="15.75" customHeight="1" s="106"/>
    <row r="400" ht="15.75" customHeight="1" s="106"/>
    <row r="401" ht="15.75" customHeight="1" s="106"/>
    <row r="402" ht="15.75" customHeight="1" s="106"/>
    <row r="403" ht="15.75" customHeight="1" s="106"/>
    <row r="404" ht="15.75" customHeight="1" s="106"/>
    <row r="405" ht="15.75" customHeight="1" s="106"/>
    <row r="406" ht="15.75" customHeight="1" s="106"/>
    <row r="407" ht="15.75" customHeight="1" s="106"/>
    <row r="408" ht="15.75" customHeight="1" s="106"/>
    <row r="409" ht="15.75" customHeight="1" s="106"/>
    <row r="410" ht="15.75" customHeight="1" s="106"/>
    <row r="411" ht="15.75" customHeight="1" s="106"/>
    <row r="412" ht="15.75" customHeight="1" s="106"/>
    <row r="413" ht="15.75" customHeight="1" s="106"/>
    <row r="414" ht="15.75" customHeight="1" s="106"/>
    <row r="415" ht="15.75" customHeight="1" s="106"/>
    <row r="416" ht="15.75" customHeight="1" s="106"/>
    <row r="417" ht="15.75" customHeight="1" s="106"/>
    <row r="418" ht="15.75" customHeight="1" s="106"/>
    <row r="419" ht="15.75" customHeight="1" s="106"/>
    <row r="420" ht="15.75" customHeight="1" s="106"/>
    <row r="421" ht="15.75" customHeight="1" s="106"/>
    <row r="422" ht="15.75" customHeight="1" s="106"/>
    <row r="423" ht="15.75" customHeight="1" s="106"/>
    <row r="424" ht="15.75" customHeight="1" s="106"/>
    <row r="425" ht="15.75" customHeight="1" s="106"/>
    <row r="426" ht="15.75" customHeight="1" s="106"/>
    <row r="427" ht="15.75" customHeight="1" s="106"/>
    <row r="428" ht="15.75" customHeight="1" s="106"/>
    <row r="429" ht="15.75" customHeight="1" s="106"/>
    <row r="430" ht="15.75" customHeight="1" s="106"/>
    <row r="431" ht="15.75" customHeight="1" s="106"/>
    <row r="432" ht="15.75" customHeight="1" s="106"/>
    <row r="433" ht="15.75" customHeight="1" s="106"/>
    <row r="434" ht="15.75" customHeight="1" s="106"/>
    <row r="435" ht="15.75" customHeight="1" s="106"/>
    <row r="436" ht="15.75" customHeight="1" s="106"/>
    <row r="437" ht="15.75" customHeight="1" s="106"/>
    <row r="438" ht="15.75" customHeight="1" s="106"/>
    <row r="439" ht="15.75" customHeight="1" s="106"/>
    <row r="440" ht="15.75" customHeight="1" s="106"/>
    <row r="441" ht="15.75" customHeight="1" s="106"/>
    <row r="442" ht="15.75" customHeight="1" s="106"/>
    <row r="443" ht="15.75" customHeight="1" s="106"/>
    <row r="444" ht="15.75" customHeight="1" s="106"/>
    <row r="445" ht="15.75" customHeight="1" s="106"/>
    <row r="446" ht="15.75" customHeight="1" s="106"/>
    <row r="447" ht="15.75" customHeight="1" s="106"/>
    <row r="448" ht="15.75" customHeight="1" s="106"/>
    <row r="449" ht="15.75" customHeight="1" s="106"/>
    <row r="450" ht="15.75" customHeight="1" s="106"/>
    <row r="451" ht="15.75" customHeight="1" s="106"/>
    <row r="452" ht="15.75" customHeight="1" s="106"/>
    <row r="453" ht="15.75" customHeight="1" s="106"/>
    <row r="454" ht="15.75" customHeight="1" s="106"/>
    <row r="455" ht="15.75" customHeight="1" s="106"/>
    <row r="456" ht="15.75" customHeight="1" s="106"/>
    <row r="457" ht="15.75" customHeight="1" s="106"/>
    <row r="458" ht="15.75" customHeight="1" s="106"/>
    <row r="459" ht="15.75" customHeight="1" s="106"/>
    <row r="460" ht="15.75" customHeight="1" s="106"/>
    <row r="461" ht="15.75" customHeight="1" s="106"/>
    <row r="462" ht="15.75" customHeight="1" s="106"/>
    <row r="463" ht="15.75" customHeight="1" s="106"/>
    <row r="464" ht="15.75" customHeight="1" s="106"/>
    <row r="465" ht="15.75" customHeight="1" s="106"/>
    <row r="466" ht="15.75" customHeight="1" s="106"/>
    <row r="467" ht="15.75" customHeight="1" s="106"/>
    <row r="468" ht="15.75" customHeight="1" s="106"/>
    <row r="469" ht="15.75" customHeight="1" s="106"/>
    <row r="470" ht="15.75" customHeight="1" s="106"/>
    <row r="471" ht="15.75" customHeight="1" s="106"/>
    <row r="472" ht="15.75" customHeight="1" s="106"/>
    <row r="473" ht="15.75" customHeight="1" s="106"/>
    <row r="474" ht="15.75" customHeight="1" s="106"/>
    <row r="475" ht="15.75" customHeight="1" s="106"/>
    <row r="476" ht="15.75" customHeight="1" s="106"/>
    <row r="477" ht="15.75" customHeight="1" s="106"/>
    <row r="478" ht="15.75" customHeight="1" s="106"/>
    <row r="479" ht="15.75" customHeight="1" s="106"/>
    <row r="480" ht="15.75" customHeight="1" s="106"/>
    <row r="481" ht="15.75" customHeight="1" s="106"/>
    <row r="482" ht="15.75" customHeight="1" s="106"/>
    <row r="483" ht="15.75" customHeight="1" s="106"/>
    <row r="484" ht="15.75" customHeight="1" s="106"/>
    <row r="485" ht="15.75" customHeight="1" s="106"/>
    <row r="486" ht="15.75" customHeight="1" s="106"/>
    <row r="487" ht="15.75" customHeight="1" s="106"/>
    <row r="488" ht="15.75" customHeight="1" s="106"/>
    <row r="489" ht="15.75" customHeight="1" s="106"/>
    <row r="490" ht="15.75" customHeight="1" s="106"/>
    <row r="491" ht="15.75" customHeight="1" s="106"/>
    <row r="492" ht="15.75" customHeight="1" s="106"/>
    <row r="493" ht="15.75" customHeight="1" s="106"/>
    <row r="494" ht="15.75" customHeight="1" s="106"/>
    <row r="495" ht="15.75" customHeight="1" s="106"/>
    <row r="496" ht="15.75" customHeight="1" s="106"/>
    <row r="497" ht="15.75" customHeight="1" s="106"/>
    <row r="498" ht="15.75" customHeight="1" s="106"/>
    <row r="499" ht="15.75" customHeight="1" s="106"/>
    <row r="500" ht="15.75" customHeight="1" s="106"/>
    <row r="501" ht="15.75" customHeight="1" s="106"/>
    <row r="502" ht="15.75" customHeight="1" s="106"/>
    <row r="503" ht="15.75" customHeight="1" s="106"/>
    <row r="504" ht="15.75" customHeight="1" s="106"/>
    <row r="505" ht="15.75" customHeight="1" s="106"/>
    <row r="506" ht="15.75" customHeight="1" s="106"/>
    <row r="507" ht="15.75" customHeight="1" s="106"/>
    <row r="508" ht="15.75" customHeight="1" s="106"/>
    <row r="509" ht="15.75" customHeight="1" s="106"/>
    <row r="510" ht="15.75" customHeight="1" s="106"/>
    <row r="511" ht="15.75" customHeight="1" s="106"/>
    <row r="512" ht="15.75" customHeight="1" s="106"/>
    <row r="513" ht="15.75" customHeight="1" s="106"/>
    <row r="514" ht="15.75" customHeight="1" s="106"/>
    <row r="515" ht="15.75" customHeight="1" s="106"/>
    <row r="516" ht="15.75" customHeight="1" s="106"/>
    <row r="517" ht="15.75" customHeight="1" s="106"/>
    <row r="518" ht="15.75" customHeight="1" s="106"/>
    <row r="519" ht="15.75" customHeight="1" s="106"/>
    <row r="520" ht="15.75" customHeight="1" s="106"/>
    <row r="521" ht="15.75" customHeight="1" s="106"/>
    <row r="522" ht="15.75" customHeight="1" s="106"/>
    <row r="523" ht="15.75" customHeight="1" s="106"/>
    <row r="524" ht="15.75" customHeight="1" s="106"/>
    <row r="525" ht="15.75" customHeight="1" s="106"/>
    <row r="526" ht="15.75" customHeight="1" s="106"/>
    <row r="527" ht="15.75" customHeight="1" s="106"/>
    <row r="528" ht="15.75" customHeight="1" s="106"/>
    <row r="529" ht="15.75" customHeight="1" s="106"/>
    <row r="530" ht="15.75" customHeight="1" s="106"/>
    <row r="531" ht="15.75" customHeight="1" s="106"/>
    <row r="532" ht="15.75" customHeight="1" s="106"/>
    <row r="533" ht="15.75" customHeight="1" s="106"/>
    <row r="534" ht="15.75" customHeight="1" s="106"/>
    <row r="535" ht="15.75" customHeight="1" s="106"/>
    <row r="536" ht="15.75" customHeight="1" s="106"/>
    <row r="537" ht="15.75" customHeight="1" s="106"/>
    <row r="538" ht="15.75" customHeight="1" s="106"/>
    <row r="539" ht="15.75" customHeight="1" s="106"/>
    <row r="540" ht="15.75" customHeight="1" s="106"/>
    <row r="541" ht="15.75" customHeight="1" s="106"/>
    <row r="542" ht="15.75" customHeight="1" s="106"/>
    <row r="543" ht="15.75" customHeight="1" s="106"/>
    <row r="544" ht="15.75" customHeight="1" s="106"/>
    <row r="545" ht="15.75" customHeight="1" s="106"/>
    <row r="546" ht="15.75" customHeight="1" s="106"/>
    <row r="547" ht="15.75" customHeight="1" s="106"/>
    <row r="548" ht="15.75" customHeight="1" s="106"/>
    <row r="549" ht="15.75" customHeight="1" s="106"/>
    <row r="550" ht="15.75" customHeight="1" s="106"/>
    <row r="551" ht="15.75" customHeight="1" s="106"/>
    <row r="552" ht="15.75" customHeight="1" s="106"/>
    <row r="553" ht="15.75" customHeight="1" s="106"/>
    <row r="554" ht="15.75" customHeight="1" s="106"/>
    <row r="555" ht="15.75" customHeight="1" s="106"/>
    <row r="556" ht="15.75" customHeight="1" s="106"/>
    <row r="557" ht="15.75" customHeight="1" s="106"/>
    <row r="558" ht="15.75" customHeight="1" s="106"/>
    <row r="559" ht="15.75" customHeight="1" s="106"/>
    <row r="560" ht="15.75" customHeight="1" s="106"/>
    <row r="561" ht="15.75" customHeight="1" s="106"/>
    <row r="562" ht="15.75" customHeight="1" s="106"/>
    <row r="563" ht="15.75" customHeight="1" s="106"/>
    <row r="564" ht="15.75" customHeight="1" s="106"/>
    <row r="565" ht="15.75" customHeight="1" s="106"/>
    <row r="566" ht="15.75" customHeight="1" s="106"/>
    <row r="567" ht="15.75" customHeight="1" s="106"/>
    <row r="568" ht="15.75" customHeight="1" s="106"/>
    <row r="569" ht="15.75" customHeight="1" s="106"/>
    <row r="570" ht="15.75" customHeight="1" s="106"/>
    <row r="571" ht="15.75" customHeight="1" s="106"/>
    <row r="572" ht="15.75" customHeight="1" s="106"/>
    <row r="573" ht="15.75" customHeight="1" s="106"/>
    <row r="574" ht="15.75" customHeight="1" s="106"/>
    <row r="575" ht="15.75" customHeight="1" s="106"/>
    <row r="576" ht="15.75" customHeight="1" s="106"/>
    <row r="577" ht="15.75" customHeight="1" s="106"/>
    <row r="578" ht="15.75" customHeight="1" s="106"/>
    <row r="579" ht="15.75" customHeight="1" s="106"/>
    <row r="580" ht="15.75" customHeight="1" s="106"/>
    <row r="581" ht="15.75" customHeight="1" s="106"/>
    <row r="582" ht="15.75" customHeight="1" s="106"/>
    <row r="583" ht="15.75" customHeight="1" s="106"/>
    <row r="584" ht="15.75" customHeight="1" s="106"/>
    <row r="585" ht="15.75" customHeight="1" s="106"/>
    <row r="586" ht="15.75" customHeight="1" s="106"/>
    <row r="587" ht="15.75" customHeight="1" s="106"/>
    <row r="588" ht="15.75" customHeight="1" s="106"/>
    <row r="589" ht="15.75" customHeight="1" s="106"/>
    <row r="590" ht="15.75" customHeight="1" s="106"/>
    <row r="591" ht="15.75" customHeight="1" s="106"/>
    <row r="592" ht="15.75" customHeight="1" s="106"/>
    <row r="593" ht="15.75" customHeight="1" s="106"/>
    <row r="594" ht="15.75" customHeight="1" s="106"/>
    <row r="595" ht="15.75" customHeight="1" s="106"/>
    <row r="596" ht="15.75" customHeight="1" s="106"/>
    <row r="597" ht="15.75" customHeight="1" s="106"/>
    <row r="598" ht="15.75" customHeight="1" s="106"/>
    <row r="599" ht="15.75" customHeight="1" s="106"/>
    <row r="600" ht="15.75" customHeight="1" s="106"/>
    <row r="601" ht="15.75" customHeight="1" s="106"/>
    <row r="602" ht="15.75" customHeight="1" s="106"/>
    <row r="603" ht="15.75" customHeight="1" s="106"/>
    <row r="604" ht="15.75" customHeight="1" s="106"/>
    <row r="605" ht="15.75" customHeight="1" s="106"/>
    <row r="606" ht="15.75" customHeight="1" s="106"/>
    <row r="607" ht="15.75" customHeight="1" s="106"/>
    <row r="608" ht="15.75" customHeight="1" s="106"/>
    <row r="609" ht="15.75" customHeight="1" s="106"/>
    <row r="610" ht="15.75" customHeight="1" s="106"/>
    <row r="611" ht="15.75" customHeight="1" s="106"/>
    <row r="612" ht="15.75" customHeight="1" s="106"/>
    <row r="613" ht="15.75" customHeight="1" s="106"/>
    <row r="614" ht="15.75" customHeight="1" s="106"/>
    <row r="615" ht="15.75" customHeight="1" s="106"/>
    <row r="616" ht="15.75" customHeight="1" s="106"/>
    <row r="617" ht="15.75" customHeight="1" s="106"/>
    <row r="618" ht="15.75" customHeight="1" s="106"/>
    <row r="619" ht="15.75" customHeight="1" s="106"/>
    <row r="620" ht="15.75" customHeight="1" s="106"/>
    <row r="621" ht="15.75" customHeight="1" s="106"/>
    <row r="622" ht="15.75" customHeight="1" s="106"/>
    <row r="623" ht="15.75" customHeight="1" s="106"/>
    <row r="624" ht="15.75" customHeight="1" s="106"/>
    <row r="625" ht="15.75" customHeight="1" s="106"/>
    <row r="626" ht="15.75" customHeight="1" s="106"/>
    <row r="627" ht="15.75" customHeight="1" s="106"/>
    <row r="628" ht="15.75" customHeight="1" s="106"/>
    <row r="629" ht="15.75" customHeight="1" s="106"/>
    <row r="630" ht="15.75" customHeight="1" s="106"/>
    <row r="631" ht="15.75" customHeight="1" s="106"/>
    <row r="632" ht="15.75" customHeight="1" s="106"/>
    <row r="633" ht="15.75" customHeight="1" s="106"/>
    <row r="634" ht="15.75" customHeight="1" s="106"/>
    <row r="635" ht="15.75" customHeight="1" s="106"/>
    <row r="636" ht="15.75" customHeight="1" s="106"/>
    <row r="637" ht="15.75" customHeight="1" s="106"/>
    <row r="638" ht="15.75" customHeight="1" s="106"/>
    <row r="639" ht="15.75" customHeight="1" s="106"/>
    <row r="640" ht="15.75" customHeight="1" s="106"/>
    <row r="641" ht="15.75" customHeight="1" s="106"/>
    <row r="642" ht="15.75" customHeight="1" s="106"/>
    <row r="643" ht="15.75" customHeight="1" s="106"/>
    <row r="644" ht="15.75" customHeight="1" s="106"/>
    <row r="645" ht="15.75" customHeight="1" s="106"/>
    <row r="646" ht="15.75" customHeight="1" s="106"/>
    <row r="647" ht="15.75" customHeight="1" s="106"/>
    <row r="648" ht="15.75" customHeight="1" s="106"/>
    <row r="649" ht="15.75" customHeight="1" s="106"/>
    <row r="650" ht="15.75" customHeight="1" s="106"/>
    <row r="651" ht="15.75" customHeight="1" s="106"/>
    <row r="652" ht="15.75" customHeight="1" s="106"/>
    <row r="653" ht="15.75" customHeight="1" s="106"/>
    <row r="654" ht="15.75" customHeight="1" s="106"/>
    <row r="655" ht="15.75" customHeight="1" s="106"/>
    <row r="656" ht="15.75" customHeight="1" s="106"/>
    <row r="657" ht="15.75" customHeight="1" s="106"/>
    <row r="658" ht="15.75" customHeight="1" s="106"/>
    <row r="659" ht="15.75" customHeight="1" s="106"/>
    <row r="660" ht="15.75" customHeight="1" s="106"/>
    <row r="661" ht="15.75" customHeight="1" s="106"/>
    <row r="662" ht="15.75" customHeight="1" s="106"/>
    <row r="663" ht="15.75" customHeight="1" s="106"/>
    <row r="664" ht="15.75" customHeight="1" s="106"/>
    <row r="665" ht="15.75" customHeight="1" s="106"/>
    <row r="666" ht="15.75" customHeight="1" s="106"/>
    <row r="667" ht="15.75" customHeight="1" s="106"/>
    <row r="668" ht="15.75" customHeight="1" s="106"/>
    <row r="669" ht="15.75" customHeight="1" s="106"/>
    <row r="670" ht="15.75" customHeight="1" s="106"/>
    <row r="671" ht="15.75" customHeight="1" s="106"/>
    <row r="672" ht="15.75" customHeight="1" s="106"/>
    <row r="673" ht="15.75" customHeight="1" s="106"/>
    <row r="674" ht="15.75" customHeight="1" s="106"/>
    <row r="675" ht="15.75" customHeight="1" s="106"/>
    <row r="676" ht="15.75" customHeight="1" s="106"/>
    <row r="677" ht="15.75" customHeight="1" s="106"/>
    <row r="678" ht="15.75" customHeight="1" s="106"/>
    <row r="679" ht="15.75" customHeight="1" s="106"/>
    <row r="680" ht="15.75" customHeight="1" s="106"/>
    <row r="681" ht="15.75" customHeight="1" s="106"/>
    <row r="682" ht="15.75" customHeight="1" s="106"/>
    <row r="683" ht="15.75" customHeight="1" s="106"/>
    <row r="684" ht="15.75" customHeight="1" s="106"/>
    <row r="685" ht="15.75" customHeight="1" s="106"/>
    <row r="686" ht="15.75" customHeight="1" s="106"/>
    <row r="687" ht="15.75" customHeight="1" s="106"/>
    <row r="688" ht="15.75" customHeight="1" s="106"/>
    <row r="689" ht="15.75" customHeight="1" s="106"/>
    <row r="690" ht="15.75" customHeight="1" s="106"/>
    <row r="691" ht="15.75" customHeight="1" s="106"/>
    <row r="692" ht="15.75" customHeight="1" s="106"/>
    <row r="693" ht="15.75" customHeight="1" s="106"/>
    <row r="694" ht="15.75" customHeight="1" s="106"/>
    <row r="695" ht="15.75" customHeight="1" s="106"/>
    <row r="696" ht="15.75" customHeight="1" s="106"/>
    <row r="697" ht="15.75" customHeight="1" s="106"/>
    <row r="698" ht="15.75" customHeight="1" s="106"/>
    <row r="699" ht="15.75" customHeight="1" s="106"/>
    <row r="700" ht="15.75" customHeight="1" s="106"/>
    <row r="701" ht="15.75" customHeight="1" s="106"/>
    <row r="702" ht="15.75" customHeight="1" s="106"/>
    <row r="703" ht="15.75" customHeight="1" s="106"/>
    <row r="704" ht="15.75" customHeight="1" s="106"/>
    <row r="705" ht="15.75" customHeight="1" s="106"/>
    <row r="706" ht="15.75" customHeight="1" s="106"/>
    <row r="707" ht="15.75" customHeight="1" s="106"/>
    <row r="708" ht="15.75" customHeight="1" s="106"/>
    <row r="709" ht="15.75" customHeight="1" s="106"/>
    <row r="710" ht="15.75" customHeight="1" s="106"/>
    <row r="711" ht="15.75" customHeight="1" s="106"/>
    <row r="712" ht="15.75" customHeight="1" s="106"/>
    <row r="713" ht="15.75" customHeight="1" s="106"/>
    <row r="714" ht="15.75" customHeight="1" s="106"/>
    <row r="715" ht="15.75" customHeight="1" s="106"/>
    <row r="716" ht="15.75" customHeight="1" s="106"/>
    <row r="717" ht="15.75" customHeight="1" s="106"/>
    <row r="718" ht="15.75" customHeight="1" s="106"/>
    <row r="719" ht="15.75" customHeight="1" s="106"/>
    <row r="720" ht="15.75" customHeight="1" s="106"/>
    <row r="721" ht="15.75" customHeight="1" s="106"/>
    <row r="722" ht="15.75" customHeight="1" s="106"/>
    <row r="723" ht="15.75" customHeight="1" s="106"/>
    <row r="724" ht="15.75" customHeight="1" s="106"/>
    <row r="725" ht="15.75" customHeight="1" s="106"/>
    <row r="726" ht="15.75" customHeight="1" s="106"/>
    <row r="727" ht="15.75" customHeight="1" s="106"/>
    <row r="728" ht="15.75" customHeight="1" s="106"/>
    <row r="729" ht="15.75" customHeight="1" s="106"/>
    <row r="730" ht="15.75" customHeight="1" s="106"/>
    <row r="731" ht="15.75" customHeight="1" s="106"/>
    <row r="732" ht="15.75" customHeight="1" s="106"/>
    <row r="733" ht="15.75" customHeight="1" s="106"/>
    <row r="734" ht="15.75" customHeight="1" s="106"/>
    <row r="735" ht="15.75" customHeight="1" s="106"/>
    <row r="736" ht="15.75" customHeight="1" s="106"/>
    <row r="737" ht="15.75" customHeight="1" s="106"/>
    <row r="738" ht="15.75" customHeight="1" s="106"/>
    <row r="739" ht="15.75" customHeight="1" s="106"/>
    <row r="740" ht="15.75" customHeight="1" s="106"/>
    <row r="741" ht="15.75" customHeight="1" s="106"/>
    <row r="742" ht="15.75" customHeight="1" s="106"/>
    <row r="743" ht="15.75" customHeight="1" s="106"/>
    <row r="744" ht="15.75" customHeight="1" s="106"/>
    <row r="745" ht="15.75" customHeight="1" s="106"/>
    <row r="746" ht="15.75" customHeight="1" s="106"/>
    <row r="747" ht="15.75" customHeight="1" s="106"/>
    <row r="748" ht="15.75" customHeight="1" s="106"/>
    <row r="749" ht="15.75" customHeight="1" s="106"/>
    <row r="750" ht="15.75" customHeight="1" s="106"/>
    <row r="751" ht="15.75" customHeight="1" s="106"/>
    <row r="752" ht="15.75" customHeight="1" s="106"/>
    <row r="753" ht="15.75" customHeight="1" s="106"/>
    <row r="754" ht="15.75" customHeight="1" s="106"/>
    <row r="755" ht="15.75" customHeight="1" s="106"/>
    <row r="756" ht="15.75" customHeight="1" s="106"/>
    <row r="757" ht="15.75" customHeight="1" s="106"/>
    <row r="758" ht="15.75" customHeight="1" s="106"/>
    <row r="759" ht="15.75" customHeight="1" s="106"/>
    <row r="760" ht="15.75" customHeight="1" s="106"/>
    <row r="761" ht="15.75" customHeight="1" s="106"/>
    <row r="762" ht="15.75" customHeight="1" s="106"/>
    <row r="763" ht="15.75" customHeight="1" s="106"/>
    <row r="764" ht="15.75" customHeight="1" s="106"/>
    <row r="765" ht="15.75" customHeight="1" s="106"/>
    <row r="766" ht="15.75" customHeight="1" s="106"/>
    <row r="767" ht="15.75" customHeight="1" s="106"/>
    <row r="768" ht="15.75" customHeight="1" s="106"/>
    <row r="769" ht="15.75" customHeight="1" s="106"/>
    <row r="770" ht="15.75" customHeight="1" s="106"/>
    <row r="771" ht="15.75" customHeight="1" s="106"/>
    <row r="772" ht="15.75" customHeight="1" s="106"/>
    <row r="773" ht="15.75" customHeight="1" s="106"/>
    <row r="774" ht="15.75" customHeight="1" s="106"/>
    <row r="775" ht="15.75" customHeight="1" s="106"/>
    <row r="776" ht="15.75" customHeight="1" s="106"/>
    <row r="777" ht="15.75" customHeight="1" s="106"/>
    <row r="778" ht="15.75" customHeight="1" s="106"/>
    <row r="779" ht="15.75" customHeight="1" s="106"/>
    <row r="780" ht="15.75" customHeight="1" s="106"/>
    <row r="781" ht="15.75" customHeight="1" s="106"/>
    <row r="782" ht="15.75" customHeight="1" s="106"/>
    <row r="783" ht="15.75" customHeight="1" s="106"/>
    <row r="784" ht="15.75" customHeight="1" s="106"/>
    <row r="785" ht="15.75" customHeight="1" s="106"/>
    <row r="786" ht="15.75" customHeight="1" s="106"/>
    <row r="787" ht="15.75" customHeight="1" s="106"/>
    <row r="788" ht="15.75" customHeight="1" s="106"/>
    <row r="789" ht="15.75" customHeight="1" s="106"/>
    <row r="790" ht="15.75" customHeight="1" s="106"/>
    <row r="791" ht="15.75" customHeight="1" s="106"/>
    <row r="792" ht="15.75" customHeight="1" s="106"/>
    <row r="793" ht="15.75" customHeight="1" s="106"/>
    <row r="794" ht="15.75" customHeight="1" s="106"/>
    <row r="795" ht="15.75" customHeight="1" s="106"/>
    <row r="796" ht="15.75" customHeight="1" s="106"/>
    <row r="797" ht="15.75" customHeight="1" s="106"/>
    <row r="798" ht="15.75" customHeight="1" s="106"/>
    <row r="799" ht="15.75" customHeight="1" s="106"/>
    <row r="800" ht="15.75" customHeight="1" s="106"/>
    <row r="801" ht="15.75" customHeight="1" s="106"/>
    <row r="802" ht="15.75" customHeight="1" s="106"/>
    <row r="803" ht="15.75" customHeight="1" s="106"/>
    <row r="804" ht="15.75" customHeight="1" s="106"/>
    <row r="805" ht="15.75" customHeight="1" s="106"/>
    <row r="806" ht="15.75" customHeight="1" s="106"/>
    <row r="807" ht="15.75" customHeight="1" s="106"/>
    <row r="808" ht="15.75" customHeight="1" s="106"/>
    <row r="809" ht="15.75" customHeight="1" s="106"/>
    <row r="810" ht="15.75" customHeight="1" s="106"/>
    <row r="811" ht="15.75" customHeight="1" s="106"/>
    <row r="812" ht="15.75" customHeight="1" s="106"/>
    <row r="813" ht="15.75" customHeight="1" s="106"/>
    <row r="814" ht="15.75" customHeight="1" s="106"/>
    <row r="815" ht="15.75" customHeight="1" s="106"/>
    <row r="816" ht="15.75" customHeight="1" s="106"/>
    <row r="817" ht="15.75" customHeight="1" s="106"/>
    <row r="818" ht="15.75" customHeight="1" s="106"/>
    <row r="819" ht="15.75" customHeight="1" s="106"/>
    <row r="820" ht="15.75" customHeight="1" s="106"/>
    <row r="821" ht="15.75" customHeight="1" s="106"/>
    <row r="822" ht="15.75" customHeight="1" s="106"/>
    <row r="823" ht="15.75" customHeight="1" s="106"/>
    <row r="824" ht="15.75" customHeight="1" s="106"/>
    <row r="825" ht="15.75" customHeight="1" s="106"/>
    <row r="826" ht="15.75" customHeight="1" s="106"/>
    <row r="827" ht="15.75" customHeight="1" s="106"/>
    <row r="828" ht="15.75" customHeight="1" s="106"/>
    <row r="829" ht="15.75" customHeight="1" s="106"/>
    <row r="830" ht="15.75" customHeight="1" s="106"/>
    <row r="831" ht="15.75" customHeight="1" s="106"/>
    <row r="832" ht="15.75" customHeight="1" s="106"/>
    <row r="833" ht="15.75" customHeight="1" s="106"/>
    <row r="834" ht="15.75" customHeight="1" s="106"/>
    <row r="835" ht="15.75" customHeight="1" s="106"/>
    <row r="836" ht="15.75" customHeight="1" s="106"/>
    <row r="837" ht="15.75" customHeight="1" s="106"/>
    <row r="838" ht="15.75" customHeight="1" s="106"/>
    <row r="839" ht="15.75" customHeight="1" s="106"/>
    <row r="840" ht="15.75" customHeight="1" s="106"/>
    <row r="841" ht="15.75" customHeight="1" s="106"/>
    <row r="842" ht="15.75" customHeight="1" s="106"/>
    <row r="843" ht="15.75" customHeight="1" s="106"/>
    <row r="844" ht="15.75" customHeight="1" s="106"/>
    <row r="845" ht="15.75" customHeight="1" s="106"/>
    <row r="846" ht="15.75" customHeight="1" s="106"/>
    <row r="847" ht="15.75" customHeight="1" s="106"/>
    <row r="848" ht="15.75" customHeight="1" s="106"/>
    <row r="849" ht="15.75" customHeight="1" s="106"/>
    <row r="850" ht="15.75" customHeight="1" s="106"/>
    <row r="851" ht="15.75" customHeight="1" s="106"/>
    <row r="852" ht="15.75" customHeight="1" s="106"/>
    <row r="853" ht="15.75" customHeight="1" s="106"/>
    <row r="854" ht="15.75" customHeight="1" s="106"/>
    <row r="855" ht="15.75" customHeight="1" s="106"/>
    <row r="856" ht="15.75" customHeight="1" s="106"/>
    <row r="857" ht="15.75" customHeight="1" s="106"/>
    <row r="858" ht="15.75" customHeight="1" s="106"/>
    <row r="859" ht="15.75" customHeight="1" s="106"/>
    <row r="860" ht="15.75" customHeight="1" s="106"/>
    <row r="861" ht="15.75" customHeight="1" s="106"/>
    <row r="862" ht="15.75" customHeight="1" s="106"/>
    <row r="863" ht="15.75" customHeight="1" s="106"/>
    <row r="864" ht="15.75" customHeight="1" s="106"/>
    <row r="865" ht="15.75" customHeight="1" s="106"/>
    <row r="866" ht="15.75" customHeight="1" s="106"/>
    <row r="867" ht="15.75" customHeight="1" s="106"/>
    <row r="868" ht="15.75" customHeight="1" s="106"/>
    <row r="869" ht="15.75" customHeight="1" s="106"/>
    <row r="870" ht="15.75" customHeight="1" s="106"/>
    <row r="871" ht="15.75" customHeight="1" s="106"/>
    <row r="872" ht="15.75" customHeight="1" s="106"/>
    <row r="873" ht="15.75" customHeight="1" s="106"/>
    <row r="874" ht="15.75" customHeight="1" s="106"/>
    <row r="875" ht="15.75" customHeight="1" s="106"/>
    <row r="876" ht="15.75" customHeight="1" s="106"/>
    <row r="877" ht="15.75" customHeight="1" s="106"/>
    <row r="878" ht="15.75" customHeight="1" s="106"/>
    <row r="879" ht="15.75" customHeight="1" s="106"/>
    <row r="880" ht="15.75" customHeight="1" s="106"/>
    <row r="881" ht="15.75" customHeight="1" s="106"/>
    <row r="882" ht="15.75" customHeight="1" s="106"/>
    <row r="883" ht="15.75" customHeight="1" s="106"/>
    <row r="884" ht="15.75" customHeight="1" s="106"/>
    <row r="885" ht="15.75" customHeight="1" s="106"/>
    <row r="886" ht="15.75" customHeight="1" s="106"/>
    <row r="887" ht="15.75" customHeight="1" s="106"/>
    <row r="888" ht="15.75" customHeight="1" s="106"/>
    <row r="889" ht="15.75" customHeight="1" s="106"/>
    <row r="890" ht="15.75" customHeight="1" s="106"/>
    <row r="891" ht="15.75" customHeight="1" s="106"/>
    <row r="892" ht="15.75" customHeight="1" s="106"/>
    <row r="893" ht="15.75" customHeight="1" s="106"/>
    <row r="894" ht="15.75" customHeight="1" s="106"/>
    <row r="895" ht="15.75" customHeight="1" s="106"/>
    <row r="896" ht="15.75" customHeight="1" s="106"/>
    <row r="897" ht="15.75" customHeight="1" s="106"/>
    <row r="898" ht="15.75" customHeight="1" s="106"/>
    <row r="899" ht="15.75" customHeight="1" s="106"/>
    <row r="900" ht="15.75" customHeight="1" s="106"/>
    <row r="901" ht="15.75" customHeight="1" s="106"/>
    <row r="902" ht="15.75" customHeight="1" s="106"/>
    <row r="903" ht="15.75" customHeight="1" s="106"/>
    <row r="904" ht="15.75" customHeight="1" s="106"/>
    <row r="905" ht="15.75" customHeight="1" s="106"/>
    <row r="906" ht="15.75" customHeight="1" s="106"/>
    <row r="907" ht="15.75" customHeight="1" s="106"/>
    <row r="908" ht="15.75" customHeight="1" s="106"/>
    <row r="909" ht="15.75" customHeight="1" s="106"/>
    <row r="910" ht="15.75" customHeight="1" s="106"/>
    <row r="911" ht="15.75" customHeight="1" s="106"/>
    <row r="912" ht="15.75" customHeight="1" s="106"/>
    <row r="913" ht="15.75" customHeight="1" s="106"/>
    <row r="914" ht="15.75" customHeight="1" s="106"/>
    <row r="915" ht="15.75" customHeight="1" s="106"/>
    <row r="916" ht="15.75" customHeight="1" s="106"/>
    <row r="917" ht="15.75" customHeight="1" s="106"/>
    <row r="918" ht="15.75" customHeight="1" s="106"/>
    <row r="919" ht="15.75" customHeight="1" s="106"/>
    <row r="920" ht="15.75" customHeight="1" s="106"/>
    <row r="921" ht="15.75" customHeight="1" s="106"/>
    <row r="922" ht="15.75" customHeight="1" s="106"/>
    <row r="923" ht="15.75" customHeight="1" s="106"/>
    <row r="924" ht="15.75" customHeight="1" s="106"/>
    <row r="925" ht="15.75" customHeight="1" s="106"/>
    <row r="926" ht="15.75" customHeight="1" s="106"/>
    <row r="927" ht="15.75" customHeight="1" s="106"/>
    <row r="928" ht="15.75" customHeight="1" s="106"/>
    <row r="929" ht="15.75" customHeight="1" s="106"/>
    <row r="930" ht="15.75" customHeight="1" s="106"/>
    <row r="931" ht="15.75" customHeight="1" s="106"/>
    <row r="932" ht="15.75" customHeight="1" s="106"/>
    <row r="933" ht="15.75" customHeight="1" s="106"/>
    <row r="934" ht="15.75" customHeight="1" s="106"/>
    <row r="935" ht="15.75" customHeight="1" s="106"/>
    <row r="936" ht="15.75" customHeight="1" s="106"/>
    <row r="937" ht="15.75" customHeight="1" s="106"/>
    <row r="938" ht="15.75" customHeight="1" s="106"/>
    <row r="939" ht="15.75" customHeight="1" s="106"/>
    <row r="940" ht="15.75" customHeight="1" s="106"/>
    <row r="941" ht="15.75" customHeight="1" s="106"/>
    <row r="942" ht="15.75" customHeight="1" s="106"/>
    <row r="943" ht="15.75" customHeight="1" s="106"/>
    <row r="944" ht="15.75" customHeight="1" s="106"/>
    <row r="945" ht="15.75" customHeight="1" s="106"/>
    <row r="946" ht="15.75" customHeight="1" s="106"/>
    <row r="947" ht="15.75" customHeight="1" s="106"/>
    <row r="948" ht="15.75" customHeight="1" s="106"/>
    <row r="949" ht="15.75" customHeight="1" s="106"/>
    <row r="950" ht="15.75" customHeight="1" s="106"/>
    <row r="951" ht="15.75" customHeight="1" s="106"/>
    <row r="952" ht="15.75" customHeight="1" s="106"/>
    <row r="953" ht="15.75" customHeight="1" s="106"/>
    <row r="954" ht="15.75" customHeight="1" s="106"/>
    <row r="955" ht="15.75" customHeight="1" s="106"/>
    <row r="956" ht="15.75" customHeight="1" s="106"/>
    <row r="957" ht="15.75" customHeight="1" s="106"/>
    <row r="958" ht="15.75" customHeight="1" s="106"/>
    <row r="959" ht="15.75" customHeight="1" s="106"/>
    <row r="960" ht="15.75" customHeight="1" s="106"/>
    <row r="961" ht="15.75" customHeight="1" s="106"/>
    <row r="962" ht="15.75" customHeight="1" s="106"/>
    <row r="963" ht="15.75" customHeight="1" s="106"/>
    <row r="964" ht="15.75" customHeight="1" s="106"/>
    <row r="965" ht="15.75" customHeight="1" s="106"/>
    <row r="966" ht="15.75" customHeight="1" s="106"/>
    <row r="967" ht="15.75" customHeight="1" s="106"/>
    <row r="968" ht="15.75" customHeight="1" s="106"/>
    <row r="969" ht="15.75" customHeight="1" s="106"/>
    <row r="970" ht="15.75" customHeight="1" s="106"/>
    <row r="971" ht="15.75" customHeight="1" s="106"/>
    <row r="972" ht="15.75" customHeight="1" s="106"/>
    <row r="973" ht="15.75" customHeight="1" s="106"/>
    <row r="974" ht="15.75" customHeight="1" s="106"/>
    <row r="975" ht="15.75" customHeight="1" s="106"/>
    <row r="976" ht="15.75" customHeight="1" s="106"/>
    <row r="977" ht="15.75" customHeight="1" s="106"/>
    <row r="978" ht="15.75" customHeight="1" s="106"/>
    <row r="979" ht="15.75" customHeight="1" s="106"/>
    <row r="980" ht="15.75" customHeight="1" s="106"/>
    <row r="981" ht="15.75" customHeight="1" s="106"/>
    <row r="982" ht="15.75" customHeight="1" s="106"/>
    <row r="983" ht="15.75" customHeight="1" s="106"/>
    <row r="984" ht="15.75" customHeight="1" s="106"/>
    <row r="985" ht="15.75" customHeight="1" s="106"/>
    <row r="986" ht="15.75" customHeight="1" s="106"/>
    <row r="987" ht="15.75" customHeight="1" s="106"/>
    <row r="988" ht="15.75" customHeight="1" s="106"/>
    <row r="989" ht="15.75" customHeight="1" s="106"/>
    <row r="990" ht="15.75" customHeight="1" s="106"/>
    <row r="991" ht="15.75" customHeight="1" s="106"/>
    <row r="992" ht="15.75" customHeight="1" s="106"/>
    <row r="993" ht="15.75" customHeight="1" s="106"/>
    <row r="994" ht="15.75" customHeight="1" s="106"/>
    <row r="995" ht="15.75" customHeight="1" s="106"/>
    <row r="996" ht="15.75" customHeight="1" s="106"/>
    <row r="997" ht="15.75" customHeight="1" s="106"/>
    <row r="998" ht="15.75" customHeight="1" s="106"/>
    <row r="999" ht="15.75" customHeight="1" s="106"/>
    <row r="1000" ht="15.75" customHeight="1" s="106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2026-08-12T14:17:21Z</dcterms:created>
  <dcterms:modified xsi:type="dcterms:W3CDTF">2026-08-12T14:17:22Z</dcterms:modified>
</cp:coreProperties>
</file>