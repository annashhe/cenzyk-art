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араметры" sheetId="4" state="visible" r:id="rId4"/>
    <sheet name="Касса заказа" sheetId="5" state="visible" r:id="rId5"/>
    <sheet name="Инструкция" sheetId="6" state="visible" r:id="rId6"/>
  </sheets>
  <definedNames>
    <definedName name="_xlnm._FilterDatabase" localSheetId="1" hidden="1">'Калькуляция'!$B$15:$L$114</definedName>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DD.MM.YYYY"/>
    <numFmt numFmtId="167" formatCode="#,##0.00&quot; ₽&quot;"/>
  </numFmts>
  <fonts count="8">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6">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0" fontId="4" fillId="0" borderId="0" pivotButton="0" quotePrefix="0" xfId="0"/>
    <xf numFmtId="167" fontId="4" fillId="7" borderId="1" pivotButton="0" quotePrefix="0" xfId="0"/>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167" fontId="4" fillId="8" borderId="1" pivotButton="0" quotePrefix="0" xfId="0"/>
    <xf numFmtId="0" fontId="6" fillId="0" borderId="0"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4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 (опц.)</t>
        </is>
      </c>
      <c r="C10" s="6" t="n"/>
      <c r="E10" s="5" t="inlineStr">
        <is>
          <t>Аренда / день</t>
        </is>
      </c>
      <c r="F10" s="9">
        <f>Параметры!C10</f>
        <v/>
      </c>
    </row>
    <row r="11">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 — пересчитается рекомендуемая цена.</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Порядок: 1) Металл и Калькуляция → 2) рекомендуемая цена → 3) вписать цену КП в D24 → 4) проверить статус.</t>
        </is>
      </c>
    </row>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49:G49"/>
    <mergeCell ref="B14:C14"/>
    <mergeCell ref="B17:C17"/>
    <mergeCell ref="B29:C29"/>
    <mergeCell ref="B19:C19"/>
    <mergeCell ref="B28:C28"/>
    <mergeCell ref="B42:E42"/>
    <mergeCell ref="B3:G3"/>
    <mergeCell ref="B24:C24"/>
    <mergeCell ref="B30:C30"/>
    <mergeCell ref="B15:C15"/>
    <mergeCell ref="B5:C5"/>
    <mergeCell ref="B20:C20"/>
    <mergeCell ref="B45:C45"/>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6"/>
  <sheetViews>
    <sheetView workbookViewId="0">
      <pane xSplit="1" ySplit="15" topLeftCell="B1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36"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Металл!H19</f>
        <v/>
      </c>
      <c r="F36" s="30" t="n">
        <v>1</v>
      </c>
      <c r="G36" s="6" t="inlineStr">
        <is>
          <t>сводка</t>
        </is>
      </c>
      <c r="H36" s="28">
        <f>IF(OR(E36="",F36=""),0,E36*F36)</f>
        <v/>
      </c>
      <c r="I36" s="28">
        <f>IF(D36="закупка",H36*Параметры!$C$6,0)</f>
        <v/>
      </c>
      <c r="J36" s="28">
        <f>H36+I36</f>
        <v/>
      </c>
      <c r="L36" s="6" t="inlineStr">
        <is>
          <t>Себестоимость проката (цена поставщика)</t>
        </is>
      </c>
    </row>
    <row r="37">
      <c r="B37" s="27" t="inlineStr">
        <is>
          <t>Металл</t>
        </is>
      </c>
      <c r="C37" s="6" t="inlineStr">
        <is>
          <t>Лазер / плазма (лист Металл)</t>
        </is>
      </c>
      <c r="D37" s="6" t="inlineStr">
        <is>
          <t>услуга</t>
        </is>
      </c>
      <c r="E37" s="28">
        <f>Металл!H28</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Металл!H39</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услуга</t>
        </is>
      </c>
      <c r="E39" s="28">
        <f>Металл!H48</f>
        <v/>
      </c>
      <c r="F39" s="30" t="n">
        <v>1</v>
      </c>
      <c r="G39" s="6" t="inlineStr">
        <is>
          <t>сводка</t>
        </is>
      </c>
      <c r="H39" s="28">
        <f>IF(OR(E39="",F39=""),0,E39*F39)</f>
        <v/>
      </c>
      <c r="I39" s="28">
        <f>IF(D39="закупка",H39*Параметры!$C$6,0)</f>
        <v/>
      </c>
      <c r="J39" s="28">
        <f>H39+I39</f>
        <v/>
      </c>
      <c r="L39" s="6" t="inlineStr"/>
    </row>
    <row r="40">
      <c r="B40" s="26" t="inlineStr">
        <is>
          <t>4. Производство</t>
        </is>
      </c>
      <c r="C40" s="26" t="n"/>
      <c r="D40" s="26" t="n"/>
      <c r="E40" s="26" t="n"/>
      <c r="F40" s="26" t="n"/>
      <c r="G40" s="26" t="n"/>
      <c r="H40" s="26" t="n"/>
      <c r="I40" s="26" t="n"/>
      <c r="J40" s="26" t="n"/>
      <c r="L40" s="26" t="n"/>
    </row>
    <row r="41">
      <c r="B41" s="27" t="inlineStr">
        <is>
          <t>Производство</t>
        </is>
      </c>
      <c r="C41" s="6" t="inlineStr">
        <is>
          <t>Аренда цеха</t>
        </is>
      </c>
      <c r="D41" s="6" t="inlineStr">
        <is>
          <t>аренда</t>
        </is>
      </c>
      <c r="E41" s="28">
        <f>Параметры!$C$10</f>
        <v/>
      </c>
      <c r="F41" s="6" t="n">
        <v>0</v>
      </c>
      <c r="G41" s="6" t="inlineStr">
        <is>
          <t>день</t>
        </is>
      </c>
      <c r="H41" s="28">
        <f>IF(OR(E41="",F41=""),0,E41*F41)</f>
        <v/>
      </c>
      <c r="I41" s="28">
        <f>IF(D41="закупка",H41*Параметры!$C$6,0)</f>
        <v/>
      </c>
      <c r="J41" s="28">
        <f>H41+I41</f>
        <v/>
      </c>
      <c r="L41" s="6" t="inlineStr">
        <is>
          <t>Ставка аренды из Параметры</t>
        </is>
      </c>
    </row>
    <row r="42">
      <c r="B42" s="27" t="inlineStr">
        <is>
          <t>Производство</t>
        </is>
      </c>
      <c r="C42" s="6" t="inlineStr">
        <is>
          <t>Оплата труда: мастер</t>
        </is>
      </c>
      <c r="D42" s="6" t="inlineStr">
        <is>
          <t>труд</t>
        </is>
      </c>
      <c r="E42" s="29" t="n">
        <v>6000</v>
      </c>
      <c r="F42" s="6" t="n">
        <v>0</v>
      </c>
      <c r="G42" s="6" t="inlineStr">
        <is>
          <t>день</t>
        </is>
      </c>
      <c r="H42" s="28">
        <f>IF(OR(E42="",F42=""),0,E42*F42)</f>
        <v/>
      </c>
      <c r="I42" s="28">
        <f>IF(D42="закупка",H42*Параметры!$C$6,0)</f>
        <v/>
      </c>
      <c r="J42" s="28">
        <f>H42+I42</f>
        <v/>
      </c>
      <c r="L42" s="6" t="inlineStr">
        <is>
          <t>ФИО в примечании</t>
        </is>
      </c>
    </row>
    <row r="43">
      <c r="B43" s="27" t="inlineStr">
        <is>
          <t>Производство</t>
        </is>
      </c>
      <c r="C43" s="6" t="inlineStr">
        <is>
          <t>Оплата труда: рабочий</t>
        </is>
      </c>
      <c r="D43" s="6" t="inlineStr">
        <is>
          <t>труд</t>
        </is>
      </c>
      <c r="E43" s="29" t="n">
        <v>4000</v>
      </c>
      <c r="F43" s="6" t="n">
        <v>0</v>
      </c>
      <c r="G43" s="6" t="inlineStr">
        <is>
          <t>день</t>
        </is>
      </c>
      <c r="H43" s="28">
        <f>IF(OR(E43="",F43=""),0,E43*F43)</f>
        <v/>
      </c>
      <c r="I43" s="28">
        <f>IF(D43="закупка",H43*Параметры!$C$6,0)</f>
        <v/>
      </c>
      <c r="J43" s="28">
        <f>H43+I43</f>
        <v/>
      </c>
      <c r="L43" s="6" t="inlineStr"/>
    </row>
    <row r="44">
      <c r="B44" s="27" t="inlineStr">
        <is>
          <t>Производство</t>
        </is>
      </c>
      <c r="C44" s="6" t="inlineStr">
        <is>
          <t>Оплата труда: доп.1</t>
        </is>
      </c>
      <c r="D44" s="6" t="inlineStr">
        <is>
          <t>труд</t>
        </is>
      </c>
      <c r="E44" s="29" t="n">
        <v>6000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доп.2</t>
        </is>
      </c>
      <c r="D45" s="6" t="inlineStr">
        <is>
          <t>труд</t>
        </is>
      </c>
      <c r="E45" s="29" t="n">
        <v>4000</v>
      </c>
      <c r="F45" s="6" t="n">
        <v>0</v>
      </c>
      <c r="G45" s="6" t="inlineStr">
        <is>
          <t>день</t>
        </is>
      </c>
      <c r="H45" s="28">
        <f>IF(OR(E45="",F45=""),0,E45*F45)</f>
        <v/>
      </c>
      <c r="I45" s="28">
        <f>IF(D45="закупка",H45*Параметры!$C$6,0)</f>
        <v/>
      </c>
      <c r="J45" s="28">
        <f>H45+I45</f>
        <v/>
      </c>
      <c r="L45" s="6" t="inlineStr"/>
    </row>
    <row r="46">
      <c r="B46" s="26" t="inlineStr">
        <is>
          <t>5. Предмонтаж</t>
        </is>
      </c>
      <c r="C46" s="26" t="n"/>
      <c r="D46" s="26" t="n"/>
      <c r="E46" s="26" t="n"/>
      <c r="F46" s="26" t="n"/>
      <c r="G46" s="26" t="n"/>
      <c r="H46" s="26" t="n"/>
      <c r="I46" s="26" t="n"/>
      <c r="J46" s="26" t="n"/>
      <c r="L46" s="26" t="n"/>
    </row>
    <row r="47">
      <c r="B47" s="27" t="inlineStr">
        <is>
          <t>Предмонтаж</t>
        </is>
      </c>
      <c r="C47" s="6" t="inlineStr">
        <is>
          <t>Аренда</t>
        </is>
      </c>
      <c r="D47" s="6" t="inlineStr">
        <is>
          <t>аренда</t>
        </is>
      </c>
      <c r="E47" s="28">
        <f>Параметры!$C$10</f>
        <v/>
      </c>
      <c r="F47" s="6" t="n">
        <v>0</v>
      </c>
      <c r="G47" s="6" t="inlineStr">
        <is>
          <t>день</t>
        </is>
      </c>
      <c r="H47" s="28">
        <f>IF(OR(E47="",F47=""),0,E47*F47)</f>
        <v/>
      </c>
      <c r="I47" s="28">
        <f>IF(D47="закупка",H47*Параметры!$C$6,0)</f>
        <v/>
      </c>
      <c r="J47" s="28">
        <f>H47+I47</f>
        <v/>
      </c>
      <c r="L47" s="6" t="inlineStr">
        <is>
          <t>Ставка аренды из Параметры</t>
        </is>
      </c>
    </row>
    <row r="48">
      <c r="B48" s="27" t="inlineStr">
        <is>
          <t>Предмонтаж</t>
        </is>
      </c>
      <c r="C48" s="6" t="inlineStr">
        <is>
          <t>Монтажники</t>
        </is>
      </c>
      <c r="D48" s="6" t="inlineStr">
        <is>
          <t>труд</t>
        </is>
      </c>
      <c r="E48" s="29" t="n">
        <v>7300</v>
      </c>
      <c r="F48" s="6" t="n">
        <v>0</v>
      </c>
      <c r="G48" s="6" t="inlineStr">
        <is>
          <t>день</t>
        </is>
      </c>
      <c r="H48" s="28">
        <f>IF(OR(E48="",F48=""),0,E48*F48)</f>
        <v/>
      </c>
      <c r="I48" s="28">
        <f>IF(D48="закупка",H48*Параметры!$C$6,0)</f>
        <v/>
      </c>
      <c r="J48" s="28">
        <f>H48+I48</f>
        <v/>
      </c>
      <c r="L48" s="6" t="inlineStr"/>
    </row>
    <row r="49">
      <c r="B49" s="27" t="inlineStr">
        <is>
          <t>Предмонтаж</t>
        </is>
      </c>
      <c r="C49" s="6" t="inlineStr">
        <is>
          <t>Помощник</t>
        </is>
      </c>
      <c r="D49" s="6" t="inlineStr">
        <is>
          <t>труд</t>
        </is>
      </c>
      <c r="E49" s="29" t="n">
        <v>5000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Транспорт цех → объект</t>
        </is>
      </c>
      <c r="D50" s="6" t="inlineStr">
        <is>
          <t>транспорт</t>
        </is>
      </c>
      <c r="E50" s="29" t="n">
        <v>2000</v>
      </c>
      <c r="F50" s="6" t="n">
        <v>0</v>
      </c>
      <c r="G50" s="6" t="inlineStr">
        <is>
          <t>рейс</t>
        </is>
      </c>
      <c r="H50" s="28">
        <f>IF(OR(E50="",F50=""),0,E50*F50)</f>
        <v/>
      </c>
      <c r="I50" s="28">
        <f>IF(D50="закупка",H50*Параметры!$C$6,0)</f>
        <v/>
      </c>
      <c r="J50" s="28">
        <f>H50+I50</f>
        <v/>
      </c>
      <c r="L50" s="6" t="inlineStr"/>
    </row>
    <row r="51">
      <c r="B51" s="27" t="inlineStr">
        <is>
          <t>Предмонтаж</t>
        </is>
      </c>
      <c r="C51" s="6" t="inlineStr">
        <is>
          <t>Транспорт объект → цех</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Такси</t>
        </is>
      </c>
      <c r="D52" s="6" t="inlineStr">
        <is>
          <t>транспорт</t>
        </is>
      </c>
      <c r="E52" s="29" t="n">
        <v>1500</v>
      </c>
      <c r="F52" s="6" t="n">
        <v>0</v>
      </c>
      <c r="G52" s="6" t="inlineStr">
        <is>
          <t>поездка</t>
        </is>
      </c>
      <c r="H52" s="28">
        <f>IF(OR(E52="",F52=""),0,E52*F52)</f>
        <v/>
      </c>
      <c r="I52" s="28">
        <f>IF(D52="закупка",H52*Параметры!$C$6,0)</f>
        <v/>
      </c>
      <c r="J52" s="28">
        <f>H52+I52</f>
        <v/>
      </c>
      <c r="L52" s="6" t="inlineStr"/>
    </row>
    <row r="53">
      <c r="B53" s="26" t="inlineStr">
        <is>
          <t>6. Покраска эмалью</t>
        </is>
      </c>
      <c r="C53" s="26" t="n"/>
      <c r="D53" s="26" t="n"/>
      <c r="E53" s="26" t="n"/>
      <c r="F53" s="26" t="n"/>
      <c r="G53" s="26" t="n"/>
      <c r="H53" s="26" t="n"/>
      <c r="I53" s="26" t="n"/>
      <c r="J53" s="26" t="n"/>
      <c r="L53" s="26" t="n"/>
    </row>
    <row r="54">
      <c r="B54" s="27" t="inlineStr">
        <is>
          <t>Покраска эмаль</t>
        </is>
      </c>
      <c r="C54" s="6" t="inlineStr">
        <is>
          <t>Аренда</t>
        </is>
      </c>
      <c r="D54" s="6" t="inlineStr">
        <is>
          <t>аренда</t>
        </is>
      </c>
      <c r="E54" s="28">
        <f>Параметры!$C$10</f>
        <v/>
      </c>
      <c r="F54" s="6" t="n">
        <v>0</v>
      </c>
      <c r="G54" s="6" t="inlineStr">
        <is>
          <t>день</t>
        </is>
      </c>
      <c r="H54" s="28">
        <f>IF(OR(E54="",F54=""),0,E54*F54)</f>
        <v/>
      </c>
      <c r="I54" s="28">
        <f>IF(D54="закупка",H54*Параметры!$C$6,0)</f>
        <v/>
      </c>
      <c r="J54" s="28">
        <f>H54+I54</f>
        <v/>
      </c>
      <c r="L54" s="6" t="inlineStr">
        <is>
          <t>Ставка аренды из Параметры</t>
        </is>
      </c>
    </row>
    <row r="55">
      <c r="B55" s="27" t="inlineStr">
        <is>
          <t>Покраска эмаль</t>
        </is>
      </c>
      <c r="C55" s="6" t="inlineStr">
        <is>
          <t>Маляр</t>
        </is>
      </c>
      <c r="D55" s="6" t="inlineStr">
        <is>
          <t>труд</t>
        </is>
      </c>
      <c r="E55" s="29" t="n">
        <v>3000</v>
      </c>
      <c r="F55" s="6" t="n">
        <v>0</v>
      </c>
      <c r="G55" s="6" t="inlineStr">
        <is>
          <t>день</t>
        </is>
      </c>
      <c r="H55" s="28">
        <f>IF(OR(E55="",F55=""),0,E55*F55)</f>
        <v/>
      </c>
      <c r="I55" s="28">
        <f>IF(D55="закупка",H55*Параметры!$C$6,0)</f>
        <v/>
      </c>
      <c r="J55" s="28">
        <f>H55+I55</f>
        <v/>
      </c>
      <c r="L55" s="6" t="inlineStr"/>
    </row>
    <row r="56">
      <c r="B56" s="27" t="inlineStr">
        <is>
          <t>Покраска эмаль</t>
        </is>
      </c>
      <c r="C56" s="6" t="inlineStr">
        <is>
          <t>Рабочий</t>
        </is>
      </c>
      <c r="D56" s="6" t="inlineStr">
        <is>
          <t>труд</t>
        </is>
      </c>
      <c r="E56" s="29" t="n">
        <v>5000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Респиратор</t>
        </is>
      </c>
      <c r="D57" s="6" t="inlineStr">
        <is>
          <t>закупка</t>
        </is>
      </c>
      <c r="E57" s="29" t="n">
        <v>500</v>
      </c>
      <c r="F57" s="6" t="n">
        <v>0</v>
      </c>
      <c r="G57" s="6" t="inlineStr">
        <is>
          <t>шт</t>
        </is>
      </c>
      <c r="H57" s="28">
        <f>IF(OR(E57="",F57=""),0,E57*F57)</f>
        <v/>
      </c>
      <c r="I57" s="28">
        <f>IF(D57="закупка",H57*Параметры!$C$6,0)</f>
        <v/>
      </c>
      <c r="J57" s="28">
        <f>H57+I57</f>
        <v/>
      </c>
      <c r="L57" s="6" t="inlineStr"/>
    </row>
    <row r="58">
      <c r="B58" s="27" t="inlineStr">
        <is>
          <t>Покраска эмаль</t>
        </is>
      </c>
      <c r="C58" s="6" t="inlineStr">
        <is>
          <t>Грунт</t>
        </is>
      </c>
      <c r="D58" s="6" t="inlineStr">
        <is>
          <t>закупка</t>
        </is>
      </c>
      <c r="E58" s="29" t="n">
        <v>600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Лак</t>
        </is>
      </c>
      <c r="D59" s="6" t="inlineStr">
        <is>
          <t>закупка</t>
        </is>
      </c>
      <c r="E59" s="29" t="n">
        <v>1000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Эмаль 0,8л</t>
        </is>
      </c>
      <c r="D60" s="6" t="inlineStr">
        <is>
          <t>закупка</t>
        </is>
      </c>
      <c r="E60" s="29" t="n">
        <v>1200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2,0л</t>
        </is>
      </c>
      <c r="D61" s="6" t="inlineStr">
        <is>
          <t>закупка</t>
        </is>
      </c>
      <c r="E61" s="29" t="n">
        <v>3500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Мет.щётки, кисти</t>
        </is>
      </c>
      <c r="D62" s="6" t="inlineStr">
        <is>
          <t>закупка</t>
        </is>
      </c>
      <c r="E62" s="29" t="n">
        <v>300</v>
      </c>
      <c r="F62" s="6" t="n">
        <v>0</v>
      </c>
      <c r="G62" s="6" t="inlineStr">
        <is>
          <t>набор</t>
        </is>
      </c>
      <c r="H62" s="28">
        <f>IF(OR(E62="",F62=""),0,E62*F62)</f>
        <v/>
      </c>
      <c r="I62" s="28">
        <f>IF(D62="закупка",H62*Параметры!$C$6,0)</f>
        <v/>
      </c>
      <c r="J62" s="28">
        <f>H62+I62</f>
        <v/>
      </c>
      <c r="L62" s="6" t="inlineStr"/>
    </row>
    <row r="63">
      <c r="B63" s="27" t="inlineStr">
        <is>
          <t>Покраска эмаль</t>
        </is>
      </c>
      <c r="C63" s="6" t="inlineStr">
        <is>
          <t>Растворитель</t>
        </is>
      </c>
      <c r="D63" s="6" t="inlineStr">
        <is>
          <t>закупка</t>
        </is>
      </c>
      <c r="E63" s="29" t="n">
        <v>370</v>
      </c>
      <c r="F63" s="6" t="n">
        <v>0</v>
      </c>
      <c r="G63" s="6" t="inlineStr">
        <is>
          <t>шт</t>
        </is>
      </c>
      <c r="H63" s="28">
        <f>IF(OR(E63="",F63=""),0,E63*F63)</f>
        <v/>
      </c>
      <c r="I63" s="28">
        <f>IF(D63="закупка",H63*Параметры!$C$6,0)</f>
        <v/>
      </c>
      <c r="J63" s="28">
        <f>H63+I63</f>
        <v/>
      </c>
      <c r="L63" s="6" t="inlineStr"/>
    </row>
    <row r="64">
      <c r="B64" s="27" t="inlineStr">
        <is>
          <t>Покраска эмаль</t>
        </is>
      </c>
      <c r="C64" s="6" t="inlineStr">
        <is>
          <t>Холодный цинк</t>
        </is>
      </c>
      <c r="D64" s="6" t="inlineStr">
        <is>
          <t>закупка</t>
        </is>
      </c>
      <c r="E64" s="29" t="n">
        <v>2500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Транспорт микроавтобус</t>
        </is>
      </c>
      <c r="D65" s="6" t="inlineStr">
        <is>
          <t>транспорт</t>
        </is>
      </c>
      <c r="E65" s="29" t="n">
        <v>2000</v>
      </c>
      <c r="F65" s="6" t="n">
        <v>0</v>
      </c>
      <c r="G65" s="6" t="inlineStr">
        <is>
          <t>рейс</t>
        </is>
      </c>
      <c r="H65" s="28">
        <f>IF(OR(E65="",F65=""),0,E65*F65)</f>
        <v/>
      </c>
      <c r="I65" s="28">
        <f>IF(D65="закупка",H65*Параметры!$C$6,0)</f>
        <v/>
      </c>
      <c r="J65" s="28">
        <f>H65+I65</f>
        <v/>
      </c>
      <c r="L65" s="6" t="inlineStr"/>
    </row>
    <row r="66">
      <c r="B66" s="27" t="inlineStr">
        <is>
          <t>Покраска эмаль</t>
        </is>
      </c>
      <c r="C66" s="6" t="inlineStr">
        <is>
          <t>Транспорт бортовая 4м</t>
        </is>
      </c>
      <c r="D66" s="6" t="inlineStr">
        <is>
          <t>транспорт</t>
        </is>
      </c>
      <c r="E66" s="29" t="n">
        <v>1500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6м</t>
        </is>
      </c>
      <c r="D67" s="6" t="inlineStr">
        <is>
          <t>транспорт</t>
        </is>
      </c>
      <c r="E67" s="29" t="n">
        <v>3500</v>
      </c>
      <c r="F67" s="6" t="n">
        <v>0</v>
      </c>
      <c r="G67" s="6" t="inlineStr">
        <is>
          <t>рейс</t>
        </is>
      </c>
      <c r="H67" s="28">
        <f>IF(OR(E67="",F67=""),0,E67*F67)</f>
        <v/>
      </c>
      <c r="I67" s="28">
        <f>IF(D67="закупка",H67*Параметры!$C$6,0)</f>
        <v/>
      </c>
      <c r="J67" s="28">
        <f>H67+I67</f>
        <v/>
      </c>
      <c r="L67" s="6" t="inlineStr"/>
    </row>
    <row r="68">
      <c r="B68" s="26" t="inlineStr">
        <is>
          <t>7. Пескоструй</t>
        </is>
      </c>
      <c r="C68" s="26" t="n"/>
      <c r="D68" s="26" t="n"/>
      <c r="E68" s="26" t="n"/>
      <c r="F68" s="26" t="n"/>
      <c r="G68" s="26" t="n"/>
      <c r="H68" s="26" t="n"/>
      <c r="I68" s="26" t="n"/>
      <c r="J68" s="26" t="n"/>
      <c r="L68" s="26" t="n"/>
    </row>
    <row r="69">
      <c r="B69" s="27" t="inlineStr">
        <is>
          <t>Пескоструй</t>
        </is>
      </c>
      <c r="C69" s="6" t="inlineStr">
        <is>
          <t>Услуга пескоструй</t>
        </is>
      </c>
      <c r="D69" s="6" t="inlineStr">
        <is>
          <t>услуга</t>
        </is>
      </c>
      <c r="E69" s="29" t="n">
        <v>900</v>
      </c>
      <c r="F69" s="6" t="n">
        <v>0</v>
      </c>
      <c r="G69" s="6" t="inlineStr">
        <is>
          <t>м</t>
        </is>
      </c>
      <c r="H69" s="28">
        <f>IF(OR(E69="",F69=""),0,E69*F69)</f>
        <v/>
      </c>
      <c r="I69" s="28">
        <f>IF(D69="закупка",H69*Параметры!$C$6,0)</f>
        <v/>
      </c>
      <c r="J69" s="28">
        <f>H69+I69</f>
        <v/>
      </c>
      <c r="L69" s="6" t="inlineStr"/>
    </row>
    <row r="70">
      <c r="B70" s="27" t="inlineStr">
        <is>
          <t>Пескоструй</t>
        </is>
      </c>
      <c r="C70" s="6" t="inlineStr">
        <is>
          <t>Транспорт на пескоструй</t>
        </is>
      </c>
      <c r="D70" s="6" t="inlineStr">
        <is>
          <t>транспорт</t>
        </is>
      </c>
      <c r="E70" s="29" t="n">
        <v>2000</v>
      </c>
      <c r="F70" s="6" t="n">
        <v>0</v>
      </c>
      <c r="G70" s="6" t="inlineStr">
        <is>
          <t>рейс</t>
        </is>
      </c>
      <c r="H70" s="28">
        <f>IF(OR(E70="",F70=""),0,E70*F70)</f>
        <v/>
      </c>
      <c r="I70" s="28">
        <f>IF(D70="закупка",H70*Параметры!$C$6,0)</f>
        <v/>
      </c>
      <c r="J70" s="28">
        <f>H70+I70</f>
        <v/>
      </c>
      <c r="L70" s="6" t="inlineStr"/>
    </row>
    <row r="71">
      <c r="B71" s="27" t="inlineStr">
        <is>
          <t>Пескоструй</t>
        </is>
      </c>
      <c r="C71" s="6" t="inlineStr">
        <is>
          <t>Транспорт с пескоструя</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6" t="inlineStr">
        <is>
          <t>8. Порошковая покраска</t>
        </is>
      </c>
      <c r="C72" s="26" t="n"/>
      <c r="D72" s="26" t="n"/>
      <c r="E72" s="26" t="n"/>
      <c r="F72" s="26" t="n"/>
      <c r="G72" s="26" t="n"/>
      <c r="H72" s="26" t="n"/>
      <c r="I72" s="26" t="n"/>
      <c r="J72" s="26" t="n"/>
      <c r="L72" s="26" t="n"/>
    </row>
    <row r="73">
      <c r="B73" s="27" t="inlineStr">
        <is>
          <t>Порошок</t>
        </is>
      </c>
      <c r="C73" s="6" t="inlineStr">
        <is>
          <t>Покраска обычная</t>
        </is>
      </c>
      <c r="D73" s="6" t="inlineStr">
        <is>
          <t>услуга</t>
        </is>
      </c>
      <c r="E73" s="29" t="n">
        <v>2000</v>
      </c>
      <c r="F73" s="6" t="n">
        <v>0</v>
      </c>
      <c r="G73" s="6" t="inlineStr">
        <is>
          <t>услуга</t>
        </is>
      </c>
      <c r="H73" s="28">
        <f>IF(OR(E73="",F73=""),0,E73*F73)</f>
        <v/>
      </c>
      <c r="I73" s="28">
        <f>IF(D73="закупка",H73*Параметры!$C$6,0)</f>
        <v/>
      </c>
      <c r="J73" s="28">
        <f>H73+I73</f>
        <v/>
      </c>
      <c r="L73" s="6" t="inlineStr"/>
    </row>
    <row r="74">
      <c r="B74" s="27" t="inlineStr">
        <is>
          <t>Порошок</t>
        </is>
      </c>
      <c r="C74" s="6" t="inlineStr">
        <is>
          <t>Покраска с цинком</t>
        </is>
      </c>
      <c r="D74" s="6" t="inlineStr">
        <is>
          <t>услуга</t>
        </is>
      </c>
      <c r="E74" s="29" t="n">
        <v>2400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шагрень</t>
        </is>
      </c>
      <c r="D75" s="6" t="inlineStr">
        <is>
          <t>услуга</t>
        </is>
      </c>
      <c r="E75" s="29" t="n">
        <v>2300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антик (молотковая)</t>
        </is>
      </c>
      <c r="D76" s="6" t="inlineStr">
        <is>
          <t>услуга</t>
        </is>
      </c>
      <c r="E76" s="29" t="n">
        <v>2200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Транспорт на покраску</t>
        </is>
      </c>
      <c r="D77" s="6" t="inlineStr">
        <is>
          <t>транспорт</t>
        </is>
      </c>
      <c r="E77" s="29" t="n">
        <v>2000</v>
      </c>
      <c r="F77" s="6" t="n">
        <v>0</v>
      </c>
      <c r="G77" s="6" t="inlineStr">
        <is>
          <t>рейс</t>
        </is>
      </c>
      <c r="H77" s="28">
        <f>IF(OR(E77="",F77=""),0,E77*F77)</f>
        <v/>
      </c>
      <c r="I77" s="28">
        <f>IF(D77="закупка",H77*Параметры!$C$6,0)</f>
        <v/>
      </c>
      <c r="J77" s="28">
        <f>H77+I77</f>
        <v/>
      </c>
      <c r="L77" s="6" t="inlineStr"/>
    </row>
    <row r="78">
      <c r="B78" s="27" t="inlineStr">
        <is>
          <t>Порошок</t>
        </is>
      </c>
      <c r="C78" s="6" t="inlineStr">
        <is>
          <t>Транспорт с покраски</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людей</t>
        </is>
      </c>
      <c r="D79" s="6" t="inlineStr">
        <is>
          <t>транспорт</t>
        </is>
      </c>
      <c r="E79" s="29" t="n">
        <v>500</v>
      </c>
      <c r="F79" s="6" t="n">
        <v>0</v>
      </c>
      <c r="G79" s="6" t="inlineStr">
        <is>
          <t>поездка</t>
        </is>
      </c>
      <c r="H79" s="28">
        <f>IF(OR(E79="",F79=""),0,E79*F79)</f>
        <v/>
      </c>
      <c r="I79" s="28">
        <f>IF(D79="закупка",H79*Параметры!$C$6,0)</f>
        <v/>
      </c>
      <c r="J79" s="28">
        <f>H79+I79</f>
        <v/>
      </c>
      <c r="L79" s="6" t="inlineStr"/>
    </row>
    <row r="80">
      <c r="B80" s="26" t="inlineStr">
        <is>
          <t>9. Монтаж</t>
        </is>
      </c>
      <c r="C80" s="26" t="n"/>
      <c r="D80" s="26" t="n"/>
      <c r="E80" s="26" t="n"/>
      <c r="F80" s="26" t="n"/>
      <c r="G80" s="26" t="n"/>
      <c r="H80" s="26" t="n"/>
      <c r="I80" s="26" t="n"/>
      <c r="J80" s="26" t="n"/>
      <c r="L80" s="26" t="n"/>
    </row>
    <row r="81">
      <c r="B81" s="27" t="inlineStr">
        <is>
          <t>Монтаж</t>
        </is>
      </c>
      <c r="C81" s="6" t="inlineStr">
        <is>
          <t>Аренда</t>
        </is>
      </c>
      <c r="D81" s="6" t="inlineStr">
        <is>
          <t>аренда</t>
        </is>
      </c>
      <c r="E81" s="28">
        <f>Параметры!$C$10</f>
        <v/>
      </c>
      <c r="F81" s="6" t="n">
        <v>0</v>
      </c>
      <c r="G81" s="6" t="inlineStr">
        <is>
          <t>день</t>
        </is>
      </c>
      <c r="H81" s="28">
        <f>IF(OR(E81="",F81=""),0,E81*F81)</f>
        <v/>
      </c>
      <c r="I81" s="28">
        <f>IF(D81="закупка",H81*Параметры!$C$6,0)</f>
        <v/>
      </c>
      <c r="J81" s="28">
        <f>H81+I81</f>
        <v/>
      </c>
      <c r="L81" s="6" t="inlineStr">
        <is>
          <t>Ставка аренды из Параметры</t>
        </is>
      </c>
    </row>
    <row r="82">
      <c r="B82" s="27" t="inlineStr">
        <is>
          <t>Монтаж</t>
        </is>
      </c>
      <c r="C82" s="6" t="inlineStr">
        <is>
          <t>Монтажники</t>
        </is>
      </c>
      <c r="D82" s="6" t="inlineStr">
        <is>
          <t>труд</t>
        </is>
      </c>
      <c r="E82" s="29" t="n">
        <v>5000</v>
      </c>
      <c r="F82" s="6" t="n">
        <v>0</v>
      </c>
      <c r="G82" s="6" t="inlineStr">
        <is>
          <t>день</t>
        </is>
      </c>
      <c r="H82" s="28">
        <f>IF(OR(E82="",F82=""),0,E82*F82)</f>
        <v/>
      </c>
      <c r="I82" s="28">
        <f>IF(D82="закупка",H82*Параметры!$C$6,0)</f>
        <v/>
      </c>
      <c r="J82" s="28">
        <f>H82+I82</f>
        <v/>
      </c>
      <c r="L82" s="6" t="inlineStr"/>
    </row>
    <row r="83">
      <c r="B83" s="27" t="inlineStr">
        <is>
          <t>Монтаж</t>
        </is>
      </c>
      <c r="C83" s="6" t="inlineStr">
        <is>
          <t>Помощник</t>
        </is>
      </c>
      <c r="D83" s="6" t="inlineStr">
        <is>
          <t>труд</t>
        </is>
      </c>
      <c r="E83" s="29" t="n">
        <v>4000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Крепежи, хим.анкер</t>
        </is>
      </c>
      <c r="D84" s="6" t="inlineStr">
        <is>
          <t>закупка</t>
        </is>
      </c>
      <c r="E84" s="29" t="n">
        <v>2000</v>
      </c>
      <c r="F84" s="6" t="n">
        <v>0</v>
      </c>
      <c r="G84" s="6" t="inlineStr">
        <is>
          <t>набор</t>
        </is>
      </c>
      <c r="H84" s="28">
        <f>IF(OR(E84="",F84=""),0,E84*F84)</f>
        <v/>
      </c>
      <c r="I84" s="28">
        <f>IF(D84="закупка",H84*Параметры!$C$6,0)</f>
        <v/>
      </c>
      <c r="J84" s="28">
        <f>H84+I84</f>
        <v/>
      </c>
      <c r="L84" s="6" t="inlineStr"/>
    </row>
    <row r="85">
      <c r="B85" s="27" t="inlineStr">
        <is>
          <t>Монтаж</t>
        </is>
      </c>
      <c r="C85" s="6" t="inlineStr">
        <is>
          <t>Транспорт рабочих</t>
        </is>
      </c>
      <c r="D85" s="6" t="inlineStr">
        <is>
          <t>транспорт</t>
        </is>
      </c>
      <c r="E85" s="29" t="n">
        <v>500</v>
      </c>
      <c r="F85" s="6" t="n">
        <v>0</v>
      </c>
      <c r="G85" s="6" t="inlineStr">
        <is>
          <t>поездка</t>
        </is>
      </c>
      <c r="H85" s="28">
        <f>IF(OR(E85="",F85=""),0,E85*F85)</f>
        <v/>
      </c>
      <c r="I85" s="28">
        <f>IF(D85="закупка",H85*Параметры!$C$6,0)</f>
        <v/>
      </c>
      <c r="J85" s="28">
        <f>H85+I85</f>
        <v/>
      </c>
      <c r="L85" s="6" t="inlineStr"/>
    </row>
    <row r="86">
      <c r="B86" s="27" t="inlineStr">
        <is>
          <t>Монтаж</t>
        </is>
      </c>
      <c r="C86" s="6" t="inlineStr">
        <is>
          <t>Транспорт оборудования на объект</t>
        </is>
      </c>
      <c r="D86" s="6" t="inlineStr">
        <is>
          <t>транспорт</t>
        </is>
      </c>
      <c r="E86" s="29" t="n">
        <v>2000</v>
      </c>
      <c r="F86" s="6" t="n">
        <v>0</v>
      </c>
      <c r="G86" s="6" t="inlineStr">
        <is>
          <t>рейс</t>
        </is>
      </c>
      <c r="H86" s="28">
        <f>IF(OR(E86="",F86=""),0,E86*F86)</f>
        <v/>
      </c>
      <c r="I86" s="28">
        <f>IF(D86="закупка",H86*Параметры!$C$6,0)</f>
        <v/>
      </c>
      <c r="J86" s="28">
        <f>H86+I86</f>
        <v/>
      </c>
      <c r="L86" s="6" t="inlineStr"/>
    </row>
    <row r="87">
      <c r="B87" s="27" t="inlineStr">
        <is>
          <t>Монтаж</t>
        </is>
      </c>
      <c r="C87" s="6" t="inlineStr">
        <is>
          <t>Транспорт оборудования в цех</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6" t="inlineStr">
        <is>
          <t>10. Расходники в день</t>
        </is>
      </c>
      <c r="C88" s="26" t="n"/>
      <c r="D88" s="26" t="n"/>
      <c r="E88" s="26" t="n"/>
      <c r="F88" s="26" t="n"/>
      <c r="G88" s="26" t="n"/>
      <c r="H88" s="26" t="n"/>
      <c r="I88" s="26" t="n"/>
      <c r="J88" s="26" t="n"/>
      <c r="L88" s="26" t="n"/>
    </row>
    <row r="89">
      <c r="B89" s="27" t="inlineStr">
        <is>
          <t>Расходники/день</t>
        </is>
      </c>
      <c r="C89" s="6" t="inlineStr">
        <is>
          <t>Абразивы</t>
        </is>
      </c>
      <c r="D89" s="6" t="inlineStr">
        <is>
          <t>закупка</t>
        </is>
      </c>
      <c r="E89" s="29" t="n">
        <v>600</v>
      </c>
      <c r="F89" s="6" t="n">
        <v>0</v>
      </c>
      <c r="G89" s="6" t="inlineStr">
        <is>
          <t>день</t>
        </is>
      </c>
      <c r="H89" s="28">
        <f>IF(OR(E89="",F89=""),0,E89*F89)</f>
        <v/>
      </c>
      <c r="I89" s="28">
        <f>IF(D89="закупка",H89*Параметры!$C$6,0)</f>
        <v/>
      </c>
      <c r="J89" s="28">
        <f>H89+I89</f>
        <v/>
      </c>
      <c r="L89" s="6" t="inlineStr"/>
    </row>
    <row r="90">
      <c r="B90" s="27" t="inlineStr">
        <is>
          <t>Расходники/день</t>
        </is>
      </c>
      <c r="C90" s="6" t="inlineStr">
        <is>
          <t>Кислород</t>
        </is>
      </c>
      <c r="D90" s="6" t="inlineStr">
        <is>
          <t>закупка</t>
        </is>
      </c>
      <c r="E90" s="29" t="n">
        <v>330</v>
      </c>
      <c r="F90" s="6" t="n">
        <v>0</v>
      </c>
      <c r="G90" s="6" t="inlineStr">
        <is>
          <t>день</t>
        </is>
      </c>
      <c r="H90" s="28">
        <f>IF(OR(E90="",F90=""),0,E90*F90)</f>
        <v/>
      </c>
      <c r="I90" s="28">
        <f>IF(D90="закупка",H90*Параметры!$C$6,0)</f>
        <v/>
      </c>
      <c r="J90" s="28">
        <f>H90+I90</f>
        <v/>
      </c>
      <c r="L90" s="6" t="inlineStr">
        <is>
          <t>ориентир: баллон / срок</t>
        </is>
      </c>
    </row>
    <row r="91">
      <c r="B91" s="27" t="inlineStr">
        <is>
          <t>Расходники/день</t>
        </is>
      </c>
      <c r="C91" s="6" t="inlineStr">
        <is>
          <t>Углекислота</t>
        </is>
      </c>
      <c r="D91" s="6" t="inlineStr">
        <is>
          <t>закупка</t>
        </is>
      </c>
      <c r="E91" s="29" t="n">
        <v>65</v>
      </c>
      <c r="F91" s="6" t="n">
        <v>0</v>
      </c>
      <c r="G91" s="6" t="inlineStr">
        <is>
          <t>день</t>
        </is>
      </c>
      <c r="H91" s="28">
        <f>IF(OR(E91="",F91=""),0,E91*F91)</f>
        <v/>
      </c>
      <c r="I91" s="28">
        <f>IF(D91="закупка",H91*Параметры!$C$6,0)</f>
        <v/>
      </c>
      <c r="J91" s="28">
        <f>H91+I91</f>
        <v/>
      </c>
      <c r="L91" s="6" t="inlineStr"/>
    </row>
    <row r="92">
      <c r="B92" s="27" t="inlineStr">
        <is>
          <t>Расходники/день</t>
        </is>
      </c>
      <c r="C92" s="6" t="inlineStr">
        <is>
          <t>Пропан (газ)</t>
        </is>
      </c>
      <c r="D92" s="6" t="inlineStr">
        <is>
          <t>закупка</t>
        </is>
      </c>
      <c r="E92" s="29" t="n">
        <v>690</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Ковка (уголь)</t>
        </is>
      </c>
      <c r="D93" s="6" t="inlineStr">
        <is>
          <t>закупка</t>
        </is>
      </c>
      <c r="E93" s="29" t="n">
        <v>3100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Амортизация инструмента</t>
        </is>
      </c>
      <c r="D94" s="6" t="inlineStr">
        <is>
          <t>прочее</t>
        </is>
      </c>
      <c r="E94" s="29" t="n">
        <v>740</v>
      </c>
      <c r="F94" s="6" t="n">
        <v>0</v>
      </c>
      <c r="G94" s="6" t="inlineStr">
        <is>
          <t>день</t>
        </is>
      </c>
      <c r="H94" s="28">
        <f>IF(OR(E94="",F94=""),0,E94*F94)</f>
        <v/>
      </c>
      <c r="I94" s="28">
        <f>IF(D94="закупка",H94*Параметры!$C$6,0)</f>
        <v/>
      </c>
      <c r="J94" s="28">
        <f>H94+I94</f>
        <v/>
      </c>
      <c r="L94" s="6" t="inlineStr"/>
    </row>
    <row r="95">
      <c r="B95" s="27" t="n"/>
      <c r="C95" s="6" t="n"/>
      <c r="D95" s="6" t="n"/>
      <c r="E95" s="29" t="n"/>
      <c r="F95" s="6" t="n"/>
      <c r="G95" s="6" t="n"/>
      <c r="H95" s="28">
        <f>IF(OR(E95="",F95=""),0,E95*F95)</f>
        <v/>
      </c>
      <c r="I95" s="28">
        <f>IF(D95="закупка",H95*Параметры!$C$6,0)</f>
        <v/>
      </c>
      <c r="J95" s="28">
        <f>H95+I95</f>
        <v/>
      </c>
      <c r="L95" s="6" t="n"/>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6">
      <c r="B116" s="2" t="inlineStr">
        <is>
          <t>Пустые строки ниже — для своих позиций. Тип «закупка» включает наценку менеджера автоматически.</t>
        </is>
      </c>
    </row>
  </sheetData>
  <autoFilter ref="B15:L114"/>
  <mergeCells count="13">
    <mergeCell ref="B53:L53"/>
    <mergeCell ref="B88:L88"/>
    <mergeCell ref="B68:L68"/>
    <mergeCell ref="B16:L16"/>
    <mergeCell ref="B72:L72"/>
    <mergeCell ref="B3:L3"/>
    <mergeCell ref="B2:L2"/>
    <mergeCell ref="B80:L80"/>
    <mergeCell ref="B46:L46"/>
    <mergeCell ref="N5:O5"/>
    <mergeCell ref="B32:L32"/>
    <mergeCell ref="B23:L23"/>
    <mergeCell ref="B40:L40"/>
  </mergeCells>
  <dataValidations count="1">
    <dataValidation sqref="D17 D18 D19 D20 D21 D22 D24 D25 D26 D27 D28 D29 D30 D31 D33 D34 D35 D36 D37 D38 D39 D41 D42 D43 D44 D45 D47 D48 D49 D50 D51 D52 D54 D55 D56 D57 D58 D59 D60 D61 D62 D63 D64 D65 D66 D67 D69 D70 D71 D73 D74 D75 D76 D77 D78 D79 D81 D82 D83 D84 D85 D86 D87 D89 D90 D91 D92 D93 D94 D95 D96 D97 D98 D99 D100 D101 D102 D103 D104 D105 D106 D107 D108 D109 D110 D111 D112 D113 D114"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I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14" customWidth="1" min="3" max="3"/>
    <col width="10" customWidth="1" min="4" max="4"/>
    <col width="8" customWidth="1" min="5" max="5"/>
    <col width="18" customWidth="1" min="6" max="6"/>
    <col width="18" customWidth="1" min="7" max="7"/>
    <col width="16" customWidth="1" min="8" max="8"/>
    <col width="18" customWidth="1" min="9" max="9"/>
  </cols>
  <sheetData>
    <row r="2">
      <c r="B2" s="1" t="inlineStr">
        <is>
          <t>МЕТАЛЛ И КОМПЛЕКТУЮЩИЕ</t>
        </is>
      </c>
    </row>
    <row r="3">
      <c r="B3" s="2" t="inlineStr">
        <is>
          <t>F — цена поставщика (обновляйте по прайсу). D — кол-во под заказ. Наценка менеджера: себестоимость × % (исправлена ошибка старого шаблона G×15%).</t>
        </is>
      </c>
    </row>
    <row r="4">
      <c r="B4" s="3" t="inlineStr">
        <is>
          <t>ПРОКАТ</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t>
        </is>
      </c>
      <c r="G5" s="10" t="inlineStr">
        <is>
          <t>С наценкой менеджера</t>
        </is>
      </c>
      <c r="H5" s="10" t="inlineStr">
        <is>
          <t>Себестоимость</t>
        </is>
      </c>
      <c r="I5" s="10" t="inlineStr">
        <is>
          <t>Наценка менеджера</t>
        </is>
      </c>
    </row>
    <row r="6">
      <c r="B6" s="6" t="inlineStr">
        <is>
          <t>Труба профильная</t>
        </is>
      </c>
      <c r="C6" s="6" t="inlineStr">
        <is>
          <t>15х15х1.5</t>
        </is>
      </c>
      <c r="D6" s="6" t="n">
        <v>0</v>
      </c>
      <c r="E6" s="6" t="inlineStr">
        <is>
          <t>шт</t>
        </is>
      </c>
      <c r="F6" s="29" t="n">
        <v>1200</v>
      </c>
      <c r="G6" s="9">
        <f>H6*(1+Параметры!$C$6)</f>
        <v/>
      </c>
      <c r="H6" s="9">
        <f>IF(OR(D6="",F6=""),0,D6*F6)</f>
        <v/>
      </c>
      <c r="I6" s="9">
        <f>H6*Параметры!$C$6</f>
        <v/>
      </c>
    </row>
    <row r="7">
      <c r="B7" s="6" t="inlineStr">
        <is>
          <t>Труба профильная</t>
        </is>
      </c>
      <c r="C7" s="6" t="inlineStr">
        <is>
          <t>15х15х2.0</t>
        </is>
      </c>
      <c r="D7" s="6" t="n">
        <v>0</v>
      </c>
      <c r="E7" s="6" t="inlineStr">
        <is>
          <t>шт</t>
        </is>
      </c>
      <c r="F7" s="29" t="n">
        <v>650</v>
      </c>
      <c r="G7" s="9">
        <f>H7*(1+Параметры!$C$6)</f>
        <v/>
      </c>
      <c r="H7" s="9">
        <f>IF(OR(D7="",F7=""),0,D7*F7)</f>
        <v/>
      </c>
      <c r="I7" s="9">
        <f>H7*Параметры!$C$6</f>
        <v/>
      </c>
    </row>
    <row r="8">
      <c r="B8" s="6" t="inlineStr">
        <is>
          <t>Труба профильная</t>
        </is>
      </c>
      <c r="C8" s="6" t="inlineStr">
        <is>
          <t>20х20х1.5</t>
        </is>
      </c>
      <c r="D8" s="6" t="n">
        <v>0</v>
      </c>
      <c r="E8" s="6" t="inlineStr">
        <is>
          <t>шт</t>
        </is>
      </c>
      <c r="F8" s="29" t="n">
        <v>575.7</v>
      </c>
      <c r="G8" s="9">
        <f>H8*(1+Параметры!$C$6)</f>
        <v/>
      </c>
      <c r="H8" s="9">
        <f>IF(OR(D8="",F8=""),0,D8*F8)</f>
        <v/>
      </c>
      <c r="I8" s="9">
        <f>H8*Параметры!$C$6</f>
        <v/>
      </c>
    </row>
    <row r="9">
      <c r="B9" s="6" t="inlineStr">
        <is>
          <t>Труба профильная</t>
        </is>
      </c>
      <c r="C9" s="6" t="inlineStr">
        <is>
          <t>20х20х2.0</t>
        </is>
      </c>
      <c r="D9" s="6" t="n">
        <v>0</v>
      </c>
      <c r="E9" s="6" t="inlineStr">
        <is>
          <t>шт</t>
        </is>
      </c>
      <c r="F9" s="29" t="n"/>
      <c r="G9" s="9">
        <f>H9*(1+Параметры!$C$6)</f>
        <v/>
      </c>
      <c r="H9" s="9">
        <f>IF(OR(D9="",F9=""),0,D9*F9)</f>
        <v/>
      </c>
      <c r="I9" s="9">
        <f>H9*Параметры!$C$6</f>
        <v/>
      </c>
    </row>
    <row r="10">
      <c r="B10" s="6" t="inlineStr">
        <is>
          <t>Труба профильная</t>
        </is>
      </c>
      <c r="C10" s="6" t="inlineStr">
        <is>
          <t>50х25</t>
        </is>
      </c>
      <c r="D10" s="6" t="n">
        <v>0</v>
      </c>
      <c r="E10" s="6" t="inlineStr">
        <is>
          <t>шт</t>
        </is>
      </c>
      <c r="F10" s="29" t="n">
        <v>1200</v>
      </c>
      <c r="G10" s="9">
        <f>H10*(1+Параметры!$C$6)</f>
        <v/>
      </c>
      <c r="H10" s="9">
        <f>IF(OR(D10="",F10=""),0,D10*F10)</f>
        <v/>
      </c>
      <c r="I10" s="9">
        <f>H10*Параметры!$C$6</f>
        <v/>
      </c>
    </row>
    <row r="11">
      <c r="B11" s="6" t="inlineStr">
        <is>
          <t>Труба профильная</t>
        </is>
      </c>
      <c r="C11" s="6" t="inlineStr">
        <is>
          <t>40х20</t>
        </is>
      </c>
      <c r="D11" s="6" t="n">
        <v>0</v>
      </c>
      <c r="E11" s="6" t="inlineStr">
        <is>
          <t>шт</t>
        </is>
      </c>
      <c r="F11" s="29" t="n">
        <v>850</v>
      </c>
      <c r="G11" s="9">
        <f>H11*(1+Параметры!$C$6)</f>
        <v/>
      </c>
      <c r="H11" s="9">
        <f>IF(OR(D11="",F11=""),0,D11*F11)</f>
        <v/>
      </c>
      <c r="I11" s="9">
        <f>H11*Параметры!$C$6</f>
        <v/>
      </c>
    </row>
    <row r="12">
      <c r="B12" s="6" t="inlineStr">
        <is>
          <t>Круг</t>
        </is>
      </c>
      <c r="C12" s="6" t="inlineStr">
        <is>
          <t>40х40х1.5</t>
        </is>
      </c>
      <c r="D12" s="6" t="n">
        <v>0</v>
      </c>
      <c r="E12" s="6" t="inlineStr">
        <is>
          <t>шт</t>
        </is>
      </c>
      <c r="F12" s="29" t="n">
        <v>750</v>
      </c>
      <c r="G12" s="9">
        <f>H12*(1+Параметры!$C$6)</f>
        <v/>
      </c>
      <c r="H12" s="9">
        <f>IF(OR(D12="",F12=""),0,D12*F12)</f>
        <v/>
      </c>
      <c r="I12" s="9">
        <f>H12*Параметры!$C$6</f>
        <v/>
      </c>
    </row>
    <row r="13">
      <c r="B13" s="6" t="inlineStr">
        <is>
          <t>Квадрат</t>
        </is>
      </c>
      <c r="C13" s="6" t="inlineStr">
        <is>
          <t>40х40х2.0</t>
        </is>
      </c>
      <c r="D13" s="6" t="n">
        <v>0</v>
      </c>
      <c r="E13" s="6" t="inlineStr">
        <is>
          <t>шт</t>
        </is>
      </c>
      <c r="F13" s="29" t="n">
        <v>690</v>
      </c>
      <c r="G13" s="9">
        <f>H13*(1+Параметры!$C$6)</f>
        <v/>
      </c>
      <c r="H13" s="9">
        <f>IF(OR(D13="",F13=""),0,D13*F13)</f>
        <v/>
      </c>
      <c r="I13" s="9">
        <f>H13*Параметры!$C$6</f>
        <v/>
      </c>
    </row>
    <row r="14">
      <c r="B14" s="6" t="inlineStr">
        <is>
          <t>Квадрат</t>
        </is>
      </c>
      <c r="C14" s="6" t="inlineStr">
        <is>
          <t>40х40х3.0</t>
        </is>
      </c>
      <c r="D14" s="6" t="n">
        <v>0</v>
      </c>
      <c r="E14" s="6" t="inlineStr">
        <is>
          <t>шт</t>
        </is>
      </c>
      <c r="F14" s="29" t="n"/>
      <c r="G14" s="9">
        <f>H14*(1+Параметры!$C$6)</f>
        <v/>
      </c>
      <c r="H14" s="9">
        <f>IF(OR(D14="",F14=""),0,D14*F14)</f>
        <v/>
      </c>
      <c r="I14" s="9">
        <f>H14*Параметры!$C$6</f>
        <v/>
      </c>
    </row>
    <row r="15">
      <c r="B15" s="6" t="inlineStr">
        <is>
          <t>Лист</t>
        </is>
      </c>
      <c r="C15" s="6" t="inlineStr">
        <is>
          <t>10х10</t>
        </is>
      </c>
      <c r="D15" s="6" t="n">
        <v>0</v>
      </c>
      <c r="E15" s="6" t="inlineStr">
        <is>
          <t>шт</t>
        </is>
      </c>
      <c r="F15" s="29" t="n"/>
      <c r="G15" s="9">
        <f>H15*(1+Параметры!$C$6)</f>
        <v/>
      </c>
      <c r="H15" s="9">
        <f>IF(OR(D15="",F15=""),0,D15*F15)</f>
        <v/>
      </c>
      <c r="I15" s="9">
        <f>H15*Параметры!$C$6</f>
        <v/>
      </c>
    </row>
    <row r="16">
      <c r="B16" s="6" t="inlineStr">
        <is>
          <t>Лист</t>
        </is>
      </c>
      <c r="C16" s="6" t="inlineStr">
        <is>
          <t>12х12</t>
        </is>
      </c>
      <c r="D16" s="6" t="n">
        <v>0</v>
      </c>
      <c r="E16" s="6" t="inlineStr">
        <is>
          <t>шт</t>
        </is>
      </c>
      <c r="F16" s="29" t="n"/>
      <c r="G16" s="9">
        <f>H16*(1+Параметры!$C$6)</f>
        <v/>
      </c>
      <c r="H16" s="9">
        <f>IF(OR(D16="",F16=""),0,D16*F16)</f>
        <v/>
      </c>
      <c r="I16" s="9">
        <f>H16*Параметры!$C$6</f>
        <v/>
      </c>
    </row>
    <row r="17">
      <c r="B17" s="6" t="inlineStr">
        <is>
          <t>Лист</t>
        </is>
      </c>
      <c r="C17" s="6" t="inlineStr">
        <is>
          <t>14х14</t>
        </is>
      </c>
      <c r="D17" s="6" t="n">
        <v>0</v>
      </c>
      <c r="E17" s="6" t="inlineStr">
        <is>
          <t>шт</t>
        </is>
      </c>
      <c r="F17" s="29" t="n"/>
      <c r="G17" s="9">
        <f>H17*(1+Параметры!$C$6)</f>
        <v/>
      </c>
      <c r="H17" s="9">
        <f>IF(OR(D17="",F17=""),0,D17*F17)</f>
        <v/>
      </c>
      <c r="I17" s="9">
        <f>H17*Параметры!$C$6</f>
        <v/>
      </c>
    </row>
    <row r="18">
      <c r="B18" s="6" t="inlineStr">
        <is>
          <t>Лист</t>
        </is>
      </c>
      <c r="C18" s="6" t="inlineStr">
        <is>
          <t>16х16</t>
        </is>
      </c>
      <c r="D18" s="6" t="n">
        <v>0</v>
      </c>
      <c r="E18" s="6" t="inlineStr">
        <is>
          <t>шт</t>
        </is>
      </c>
      <c r="F18" s="29" t="n"/>
      <c r="G18" s="9">
        <f>H18*(1+Параметры!$C$6)</f>
        <v/>
      </c>
      <c r="H18" s="9">
        <f>IF(OR(D18="",F18=""),0,D18*F18)</f>
        <v/>
      </c>
      <c r="I18" s="9">
        <f>H18*Параметры!$C$6</f>
        <v/>
      </c>
    </row>
    <row r="19">
      <c r="F19" s="31" t="inlineStr">
        <is>
          <t>Прокат — себестоимость:</t>
        </is>
      </c>
      <c r="G19" s="13">
        <f>SUM(G6:G18)</f>
        <v/>
      </c>
      <c r="H19" s="13">
        <f>SUM(H6:H18)</f>
        <v/>
      </c>
      <c r="I19" s="13">
        <f>SUM(I6:I18)</f>
        <v/>
      </c>
    </row>
    <row r="21">
      <c r="B21" s="3" t="inlineStr">
        <is>
          <t>ПЛАЗМА / ЛАЗЕР</t>
        </is>
      </c>
      <c r="C21" s="11" t="n"/>
      <c r="D21" s="11" t="n"/>
      <c r="E21" s="11" t="n"/>
      <c r="F21" s="11" t="n"/>
      <c r="G21" s="11" t="n"/>
      <c r="H21" s="11" t="n"/>
      <c r="I21" s="4" t="n"/>
    </row>
    <row r="23">
      <c r="B23" s="10" t="inlineStr">
        <is>
          <t>Позиция</t>
        </is>
      </c>
      <c r="C23" s="10" t="inlineStr">
        <is>
          <t>Сечение</t>
        </is>
      </c>
      <c r="D23" s="10" t="inlineStr">
        <is>
          <t>Кол-во</t>
        </is>
      </c>
      <c r="E23" s="10" t="inlineStr">
        <is>
          <t>Ед.</t>
        </is>
      </c>
      <c r="F23" s="10" t="inlineStr">
        <is>
          <t>Цена поставщика</t>
        </is>
      </c>
      <c r="G23" s="10" t="inlineStr">
        <is>
          <t>Сумма</t>
        </is>
      </c>
      <c r="H23" s="10" t="inlineStr">
        <is>
          <t>Себестоимость</t>
        </is>
      </c>
      <c r="I23" s="10" t="inlineStr">
        <is>
          <t>Наценка</t>
        </is>
      </c>
    </row>
    <row r="24">
      <c r="B24" s="6" t="n"/>
      <c r="C24" s="6" t="n"/>
      <c r="D24" s="6" t="n">
        <v>0</v>
      </c>
      <c r="E24" s="6" t="inlineStr">
        <is>
          <t>шт</t>
        </is>
      </c>
      <c r="F24" s="29" t="n">
        <v>0</v>
      </c>
      <c r="G24" s="9">
        <f>H24</f>
        <v/>
      </c>
      <c r="H24" s="9">
        <f>IF(OR(D24="",F24=""),0,D24*F24)</f>
        <v/>
      </c>
      <c r="I24" s="9" t="n">
        <v>0</v>
      </c>
    </row>
    <row r="25">
      <c r="B25" s="6" t="n"/>
      <c r="C25" s="6" t="n"/>
      <c r="D25" s="6" t="n">
        <v>0</v>
      </c>
      <c r="E25" s="6" t="inlineStr">
        <is>
          <t>шт</t>
        </is>
      </c>
      <c r="F25" s="29" t="n">
        <v>0</v>
      </c>
      <c r="G25" s="9">
        <f>H25</f>
        <v/>
      </c>
      <c r="H25" s="9">
        <f>IF(OR(D25="",F25=""),0,D25*F25)</f>
        <v/>
      </c>
      <c r="I25" s="9" t="n">
        <v>0</v>
      </c>
    </row>
    <row r="26">
      <c r="B26" s="6" t="n"/>
      <c r="C26" s="6" t="n"/>
      <c r="D26" s="6" t="n">
        <v>0</v>
      </c>
      <c r="E26" s="6" t="inlineStr">
        <is>
          <t>шт</t>
        </is>
      </c>
      <c r="F26" s="29" t="n">
        <v>0</v>
      </c>
      <c r="G26" s="9">
        <f>H26</f>
        <v/>
      </c>
      <c r="H26" s="9">
        <f>IF(OR(D26="",F26=""),0,D26*F26)</f>
        <v/>
      </c>
      <c r="I26" s="9" t="n">
        <v>0</v>
      </c>
    </row>
    <row r="27">
      <c r="B27" s="6" t="n"/>
      <c r="C27" s="6" t="n"/>
      <c r="D27" s="6" t="n">
        <v>0</v>
      </c>
      <c r="E27" s="6" t="inlineStr">
        <is>
          <t>шт</t>
        </is>
      </c>
      <c r="F27" s="29" t="n">
        <v>0</v>
      </c>
      <c r="G27" s="9">
        <f>H27</f>
        <v/>
      </c>
      <c r="H27" s="9">
        <f>IF(OR(D27="",F27=""),0,D27*F27)</f>
        <v/>
      </c>
      <c r="I27" s="9" t="n">
        <v>0</v>
      </c>
    </row>
    <row r="28">
      <c r="F28" t="inlineStr">
        <is>
          <t>Плазма — себестоимость:</t>
        </is>
      </c>
      <c r="H28" s="13">
        <f>SUM(H24:H27)</f>
        <v/>
      </c>
    </row>
    <row r="30">
      <c r="B30" s="3" t="inlineStr">
        <is>
          <t>КОВАНЫЕ ЭЛЕМЕНТЫ / СПЕЦ. ПРОКАТ</t>
        </is>
      </c>
      <c r="C30" s="11" t="n"/>
      <c r="D30" s="11" t="n"/>
      <c r="E30" s="11" t="n"/>
      <c r="F30" s="11" t="n"/>
      <c r="G30" s="11" t="n"/>
      <c r="H30" s="11" t="n"/>
      <c r="I30" s="4" t="n"/>
    </row>
    <row r="32">
      <c r="B32" s="10" t="inlineStr">
        <is>
          <t>Элемент</t>
        </is>
      </c>
      <c r="C32" s="10" t="inlineStr">
        <is>
          <t>Сечение</t>
        </is>
      </c>
      <c r="D32" s="10" t="inlineStr">
        <is>
          <t>Кол-во</t>
        </is>
      </c>
      <c r="E32" s="10" t="inlineStr">
        <is>
          <t>Ед.</t>
        </is>
      </c>
      <c r="F32" s="10" t="inlineStr">
        <is>
          <t>Цена поставщика</t>
        </is>
      </c>
      <c r="G32" s="10" t="inlineStr">
        <is>
          <t>С наценкой</t>
        </is>
      </c>
      <c r="H32" s="10" t="inlineStr">
        <is>
          <t>Себестоимость</t>
        </is>
      </c>
      <c r="I32" s="10" t="inlineStr">
        <is>
          <t>Наценка менеджера</t>
        </is>
      </c>
    </row>
    <row r="33">
      <c r="B33" s="6" t="inlineStr">
        <is>
          <t>11.032</t>
        </is>
      </c>
      <c r="C33" s="6" t="inlineStr">
        <is>
          <t>12х6</t>
        </is>
      </c>
      <c r="D33" s="6" t="n">
        <v>0</v>
      </c>
      <c r="E33" s="6" t="inlineStr">
        <is>
          <t>шт</t>
        </is>
      </c>
      <c r="F33" s="29" t="n">
        <v>50</v>
      </c>
      <c r="G33" s="9">
        <f>H33*(1+Параметры!$C$6)</f>
        <v/>
      </c>
      <c r="H33" s="9">
        <f>IF(OR(D33="",F33=""),0,D33*F33)</f>
        <v/>
      </c>
      <c r="I33" s="9">
        <f>H33*Параметры!$C$6</f>
        <v/>
      </c>
    </row>
    <row r="34">
      <c r="B34" s="6" t="inlineStr">
        <is>
          <t>41.401</t>
        </is>
      </c>
      <c r="C34" s="6" t="inlineStr">
        <is>
          <t>12</t>
        </is>
      </c>
      <c r="D34" s="6" t="n">
        <v>0</v>
      </c>
      <c r="E34" s="6" t="inlineStr">
        <is>
          <t>шт</t>
        </is>
      </c>
      <c r="F34" s="29" t="n">
        <v>230</v>
      </c>
      <c r="G34" s="9">
        <f>H34*(1+Параметры!$C$6)</f>
        <v/>
      </c>
      <c r="H34" s="9">
        <f>IF(OR(D34="",F34=""),0,D34*F34)</f>
        <v/>
      </c>
      <c r="I34" s="9">
        <f>H34*Параметры!$C$6</f>
        <v/>
      </c>
    </row>
    <row r="35">
      <c r="B35" s="6" t="inlineStr"/>
      <c r="C35" s="6" t="inlineStr"/>
      <c r="D35" s="6" t="n">
        <v>0</v>
      </c>
      <c r="E35" s="6" t="inlineStr">
        <is>
          <t>шт</t>
        </is>
      </c>
      <c r="F35" s="29" t="n">
        <v>2500</v>
      </c>
      <c r="G35" s="9">
        <f>H35*(1+Параметры!$C$6)</f>
        <v/>
      </c>
      <c r="H35" s="9">
        <f>IF(OR(D35="",F35=""),0,D35*F35)</f>
        <v/>
      </c>
      <c r="I35" s="9">
        <f>H35*Параметры!$C$6</f>
        <v/>
      </c>
    </row>
    <row r="36">
      <c r="B36" s="6" t="inlineStr"/>
      <c r="C36" s="6" t="inlineStr"/>
      <c r="D36" s="6" t="n">
        <v>0</v>
      </c>
      <c r="E36" s="6" t="inlineStr">
        <is>
          <t>шт</t>
        </is>
      </c>
      <c r="F36" s="29" t="n">
        <v>200</v>
      </c>
      <c r="G36" s="9">
        <f>H36*(1+Параметры!$C$6)</f>
        <v/>
      </c>
      <c r="H36" s="9">
        <f>IF(OR(D36="",F36=""),0,D36*F36)</f>
        <v/>
      </c>
      <c r="I36" s="9">
        <f>H36*Параметры!$C$6</f>
        <v/>
      </c>
    </row>
    <row r="37">
      <c r="B37" s="6" t="inlineStr"/>
      <c r="C37" s="6" t="inlineStr"/>
      <c r="D37" s="6" t="n">
        <v>0</v>
      </c>
      <c r="E37" s="6" t="inlineStr">
        <is>
          <t>шт</t>
        </is>
      </c>
      <c r="F37" s="29" t="n">
        <v>0</v>
      </c>
      <c r="G37" s="9">
        <f>H37*(1+Параметры!$C$6)</f>
        <v/>
      </c>
      <c r="H37" s="9">
        <f>IF(OR(D37="",F37=""),0,D37*F37)</f>
        <v/>
      </c>
      <c r="I37" s="9">
        <f>H37*Параметры!$C$6</f>
        <v/>
      </c>
    </row>
    <row r="38">
      <c r="B38" s="6" t="inlineStr"/>
      <c r="C38" s="6" t="inlineStr"/>
      <c r="D38" s="6" t="n">
        <v>0</v>
      </c>
      <c r="E38" s="6" t="inlineStr">
        <is>
          <t>шт</t>
        </is>
      </c>
      <c r="F38" s="29" t="n">
        <v>0</v>
      </c>
      <c r="G38" s="9">
        <f>H38*(1+Параметры!$C$6)</f>
        <v/>
      </c>
      <c r="H38" s="9">
        <f>IF(OR(D38="",F38=""),0,D38*F38)</f>
        <v/>
      </c>
      <c r="I38" s="9">
        <f>H38*Параметры!$C$6</f>
        <v/>
      </c>
    </row>
    <row r="39">
      <c r="F39" t="inlineStr">
        <is>
          <t>Ковка — себестоимость:</t>
        </is>
      </c>
      <c r="G39" s="13">
        <f>SUM(G33:G38)</f>
        <v/>
      </c>
      <c r="H39" s="13">
        <f>SUM(H33:H38)</f>
        <v/>
      </c>
      <c r="I39" s="13">
        <f>SUM(I33:I38)</f>
        <v/>
      </c>
    </row>
    <row r="41">
      <c r="B41" s="3" t="inlineStr">
        <is>
          <t>ТОКАРНЫЕ РАБОТЫ</t>
        </is>
      </c>
      <c r="C41" s="11" t="n"/>
      <c r="D41" s="11" t="n"/>
      <c r="E41" s="11" t="n"/>
      <c r="F41" s="11" t="n"/>
      <c r="G41" s="11" t="n"/>
      <c r="H41" s="11" t="n"/>
      <c r="I41" s="4" t="n"/>
    </row>
    <row r="43">
      <c r="B43" s="10" t="inlineStr">
        <is>
          <t>Позиция</t>
        </is>
      </c>
      <c r="C43" s="10" t="inlineStr">
        <is>
          <t>Сечение</t>
        </is>
      </c>
      <c r="D43" s="10" t="inlineStr">
        <is>
          <t>Кол-во</t>
        </is>
      </c>
      <c r="E43" s="10" t="inlineStr">
        <is>
          <t>Ед.</t>
        </is>
      </c>
      <c r="F43" s="10" t="inlineStr">
        <is>
          <t>Цена</t>
        </is>
      </c>
      <c r="G43" s="10" t="inlineStr">
        <is>
          <t>Сумма</t>
        </is>
      </c>
      <c r="H43" s="10" t="inlineStr">
        <is>
          <t>Себестоимость</t>
        </is>
      </c>
      <c r="I43" s="10" t="inlineStr">
        <is>
          <t>Наценка</t>
        </is>
      </c>
    </row>
    <row r="44">
      <c r="B44" s="6" t="n"/>
      <c r="C44" s="6" t="n"/>
      <c r="D44" s="6" t="n">
        <v>0</v>
      </c>
      <c r="E44" s="6" t="inlineStr">
        <is>
          <t>шт</t>
        </is>
      </c>
      <c r="F44" s="29" t="n">
        <v>0</v>
      </c>
      <c r="G44" s="9">
        <f>H44</f>
        <v/>
      </c>
      <c r="H44" s="9">
        <f>IF(OR(D44="",F44=""),0,D44*F44)</f>
        <v/>
      </c>
      <c r="I44" s="9" t="n">
        <v>0</v>
      </c>
    </row>
    <row r="45">
      <c r="B45" s="6" t="n"/>
      <c r="C45" s="6" t="n"/>
      <c r="D45" s="6" t="n">
        <v>0</v>
      </c>
      <c r="E45" s="6" t="inlineStr">
        <is>
          <t>шт</t>
        </is>
      </c>
      <c r="F45" s="29" t="n">
        <v>0</v>
      </c>
      <c r="G45" s="9">
        <f>H45</f>
        <v/>
      </c>
      <c r="H45" s="9">
        <f>IF(OR(D45="",F45=""),0,D45*F45)</f>
        <v/>
      </c>
      <c r="I45" s="9" t="n">
        <v>0</v>
      </c>
    </row>
    <row r="46">
      <c r="B46" s="6" t="n"/>
      <c r="C46" s="6" t="n"/>
      <c r="D46" s="6" t="n">
        <v>0</v>
      </c>
      <c r="E46" s="6" t="inlineStr">
        <is>
          <t>шт</t>
        </is>
      </c>
      <c r="F46" s="29" t="n">
        <v>0</v>
      </c>
      <c r="G46" s="9">
        <f>H46</f>
        <v/>
      </c>
      <c r="H46" s="9">
        <f>IF(OR(D46="",F46=""),0,D46*F46)</f>
        <v/>
      </c>
      <c r="I46" s="9" t="n">
        <v>0</v>
      </c>
    </row>
    <row r="47">
      <c r="B47" s="6" t="n"/>
      <c r="C47" s="6" t="n"/>
      <c r="D47" s="6" t="n">
        <v>0</v>
      </c>
      <c r="E47" s="6" t="inlineStr">
        <is>
          <t>шт</t>
        </is>
      </c>
      <c r="F47" s="29" t="n">
        <v>0</v>
      </c>
      <c r="G47" s="9">
        <f>H47</f>
        <v/>
      </c>
      <c r="H47" s="9">
        <f>IF(OR(D47="",F47=""),0,D47*F47)</f>
        <v/>
      </c>
      <c r="I47" s="9" t="n">
        <v>0</v>
      </c>
    </row>
    <row r="48">
      <c r="F48" t="inlineStr">
        <is>
          <t>Токарка — себестоимость:</t>
        </is>
      </c>
      <c r="H48" s="13">
        <f>SUM(H44:H47)</f>
        <v/>
      </c>
    </row>
    <row r="50">
      <c r="F50" s="31" t="inlineStr">
        <is>
          <t>ВСЕГО металл — себестоимость:</t>
        </is>
      </c>
      <c r="H50" s="18">
        <f>H19+H28+H39+H48</f>
        <v/>
      </c>
    </row>
    <row r="51">
      <c r="F51" s="31" t="inlineStr">
        <is>
          <t>ВСЕГО наценка менеджера с металла:</t>
        </is>
      </c>
      <c r="H51" s="32">
        <f>I19+I39</f>
        <v/>
      </c>
    </row>
    <row r="53">
      <c r="B53" s="2" t="inlineStr">
        <is>
          <t>Следующий этап: вынести цены в отдельный справочник поставщика; в заказе оставить кол-во. Связь с Калькуляцией уже через H19 / H28 / H39 / H48.</t>
        </is>
      </c>
    </row>
    <row r="54"/>
  </sheetData>
  <mergeCells count="7">
    <mergeCell ref="B30:I30"/>
    <mergeCell ref="B21:I21"/>
    <mergeCell ref="B2:I2"/>
    <mergeCell ref="B3:I3"/>
    <mergeCell ref="B53:I54"/>
    <mergeCell ref="B41:I41"/>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F32"/>
  <sheetViews>
    <sheetView workbookViewId="0">
      <selection activeCell="A1" sqref="A1"/>
    </sheetView>
  </sheetViews>
  <sheetFormatPr baseColWidth="8" defaultRowHeight="15"/>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33" t="n">
        <v>0.15</v>
      </c>
      <c r="D6" s="34" t="inlineStr">
        <is>
          <t>От цены поставщика. Ваша прибыль как менеджера.</t>
        </is>
      </c>
    </row>
    <row r="7">
      <c r="B7" s="5" t="inlineStr">
        <is>
          <t>Целевая маржа проекта (от выручки)</t>
        </is>
      </c>
      <c r="C7" s="33" t="n">
        <v>0.2</v>
      </c>
      <c r="D7" s="34" t="inlineStr">
        <is>
          <t>Чистая маржа после НПД. Диапазон обычно 10%…30%+.</t>
        </is>
      </c>
    </row>
    <row r="8">
      <c r="B8" s="5" t="inlineStr">
        <is>
          <t>Минимальная допустимая маржа</t>
        </is>
      </c>
      <c r="C8" s="33" t="n">
        <v>0.1</v>
      </c>
      <c r="D8" s="34" t="inlineStr">
        <is>
          <t>Ниже — статус «НИЖЕ МИНИМУМА».</t>
        </is>
      </c>
    </row>
    <row r="9">
      <c r="B9" s="5" t="inlineStr">
        <is>
          <t>Налог НПД (самозанятость)</t>
        </is>
      </c>
      <c r="C9" s="33" t="n">
        <v>0.04</v>
      </c>
      <c r="D9" s="34" t="inlineStr">
        <is>
          <t>4% — физлица, 6% — юрлица/ИП.</t>
        </is>
      </c>
    </row>
    <row r="10">
      <c r="B10" s="5" t="inlineStr">
        <is>
          <t>Аренда, ₽ / рабочий день</t>
        </is>
      </c>
      <c r="C10" s="35" t="n">
        <v>2000</v>
      </c>
      <c r="D10" s="34" t="inlineStr">
        <is>
          <t>Ставка аренды цеха на рабочий день.</t>
        </is>
      </c>
    </row>
    <row r="11">
      <c r="B11" s="5" t="inlineStr">
        <is>
          <t>Рабочих дней в месяце</t>
        </is>
      </c>
      <c r="C11" s="35" t="n">
        <v>22</v>
      </c>
      <c r="D11" s="34" t="inlineStr">
        <is>
          <t>Справочно для пересчёта постоянных расходов.</t>
        </is>
      </c>
    </row>
    <row r="12">
      <c r="B12" s="5" t="inlineStr">
        <is>
          <t>Агентские, % от цены КП</t>
        </is>
      </c>
      <c r="C12" s="33" t="n">
        <v>0</v>
      </c>
      <c r="D12" s="34" t="inlineStr">
        <is>
          <t>Если есть посредник — поставьте %, иначе 0.</t>
        </is>
      </c>
    </row>
    <row r="14">
      <c r="B14" s="31" t="inlineStr">
        <is>
          <t>Авто-коэффициенты</t>
        </is>
      </c>
    </row>
    <row r="15">
      <c r="B15" s="5" t="inlineStr">
        <is>
          <t>Множитель цены при целевой марже</t>
        </is>
      </c>
      <c r="C15" s="36">
        <f>1/(1-C9-C7-C12)</f>
        <v/>
      </c>
      <c r="D15" s="34" t="inlineStr">
        <is>
          <t>Цена КП ≈ Себестоимость × коэффициент</t>
        </is>
      </c>
    </row>
    <row r="16">
      <c r="B16" s="5" t="inlineStr">
        <is>
          <t>Множитель цены при минимальной марже</t>
        </is>
      </c>
      <c r="C16" s="36">
        <f>1/(1-C9-C8-C12)</f>
        <v/>
      </c>
      <c r="D16" s="34" t="n"/>
    </row>
    <row r="18">
      <c r="B18" s="31"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Прочее</t>
        </is>
      </c>
    </row>
    <row r="26">
      <c r="B26" s="31" t="inlineStr">
        <is>
          <t>Правило маржи</t>
        </is>
      </c>
    </row>
    <row r="27" ht="96" customHeight="1">
      <c r="B27" s="37"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t>
        </is>
      </c>
    </row>
    <row r="28"/>
    <row r="29"/>
    <row r="30"/>
    <row r="31"/>
    <row r="32"/>
  </sheetData>
  <mergeCells count="3">
    <mergeCell ref="B27:F32"/>
    <mergeCell ref="B2:D2"/>
    <mergeCell ref="B3:F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D47"/>
  <sheetViews>
    <sheetView workbookViewId="0">
      <selection activeCell="A1" sqref="A1"/>
    </sheetView>
  </sheetViews>
  <sheetFormatPr baseColWidth="8" defaultRowHeight="15"/>
  <cols>
    <col width="3" customWidth="1" min="1" max="1"/>
    <col width="14" customWidth="1" min="2" max="2"/>
    <col width="44" customWidth="1" min="3" max="3"/>
    <col width="16" customWidth="1" min="4" max="4"/>
  </cols>
  <sheetData>
    <row r="2">
      <c r="B2" s="1" t="inlineStr">
        <is>
          <t>КАССА ЗАКАЗА (не путать с прибылью)</t>
        </is>
      </c>
    </row>
    <row r="3">
      <c r="B3" s="2" t="inlineStr">
        <is>
          <t>Только деньги: сколько получили и сколько выплатили. Прибыль — на листе Сводка.</t>
        </is>
      </c>
    </row>
    <row r="5">
      <c r="B5" s="3" t="inlineStr">
        <is>
          <t>ПРИХОДЫ ОТ КЛИЕНТА</t>
        </is>
      </c>
      <c r="C5" s="11" t="n"/>
      <c r="D5" s="4" t="n"/>
    </row>
    <row r="6">
      <c r="B6" s="10" t="inlineStr">
        <is>
          <t>Дата</t>
        </is>
      </c>
      <c r="C6" s="10" t="inlineStr">
        <is>
          <t>Основание</t>
        </is>
      </c>
      <c r="D6" s="10" t="inlineStr">
        <is>
          <t>Сумма</t>
        </is>
      </c>
    </row>
    <row r="7">
      <c r="B7" s="6" t="n"/>
      <c r="C7" s="6" t="n"/>
      <c r="D7" s="29" t="n"/>
    </row>
    <row r="8">
      <c r="B8" s="6" t="n"/>
      <c r="C8" s="6" t="n"/>
      <c r="D8" s="29" t="n"/>
    </row>
    <row r="9">
      <c r="B9" s="6" t="n"/>
      <c r="C9" s="6" t="n"/>
      <c r="D9" s="29" t="n"/>
    </row>
    <row r="10">
      <c r="B10" s="6" t="n"/>
      <c r="C10" s="6" t="n"/>
      <c r="D10" s="29" t="n"/>
    </row>
    <row r="11">
      <c r="B11" s="6" t="n"/>
      <c r="C11" s="6" t="n"/>
      <c r="D11" s="29" t="n"/>
    </row>
    <row r="12">
      <c r="C12" t="inlineStr">
        <is>
          <t>Итого получено:</t>
        </is>
      </c>
      <c r="D12" s="13">
        <f>SUM(D7:D11)</f>
        <v/>
      </c>
    </row>
    <row r="13">
      <c r="C13" t="inlineStr">
        <is>
          <t>Цена КП (из Сводки):</t>
        </is>
      </c>
      <c r="D13" s="9">
        <f>Сводка!D24</f>
        <v/>
      </c>
    </row>
    <row r="14">
      <c r="C14" t="inlineStr">
        <is>
          <t>Остаток к получению:</t>
        </is>
      </c>
      <c r="D14" s="38">
        <f>D13-D12</f>
        <v/>
      </c>
    </row>
    <row r="16">
      <c r="B16" s="3" t="inlineStr">
        <is>
          <t>РАСХОДЫ ПО ЗАКАЗУ (факт выплат)</t>
        </is>
      </c>
      <c r="C16" s="11" t="n"/>
      <c r="D16" s="4" t="n"/>
    </row>
    <row r="17">
      <c r="B17" s="10" t="inlineStr">
        <is>
          <t>Дата</t>
        </is>
      </c>
      <c r="C17" s="10" t="inlineStr">
        <is>
          <t>Основание</t>
        </is>
      </c>
      <c r="D17" s="10" t="inlineStr">
        <is>
          <t>Сумма</t>
        </is>
      </c>
    </row>
    <row r="18">
      <c r="B18" s="6" t="n"/>
      <c r="C18" s="6" t="n"/>
      <c r="D18" s="29" t="n"/>
    </row>
    <row r="19">
      <c r="B19" s="6" t="n"/>
      <c r="C19" s="6" t="n"/>
      <c r="D19" s="29" t="n"/>
    </row>
    <row r="20">
      <c r="B20" s="6" t="n"/>
      <c r="C20" s="6" t="n"/>
      <c r="D20" s="29" t="n"/>
    </row>
    <row r="21">
      <c r="B21" s="6" t="n"/>
      <c r="C21" s="6" t="n"/>
      <c r="D21" s="29" t="n"/>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2">
      <c r="B42" s="6" t="n"/>
      <c r="C42" s="6" t="n"/>
      <c r="D42" s="29" t="n"/>
    </row>
    <row r="44">
      <c r="C44" t="inlineStr">
        <is>
          <t>Итого выплат:</t>
        </is>
      </c>
      <c r="D44" s="13">
        <f>SUM(D18:D42)</f>
        <v/>
      </c>
    </row>
    <row r="45">
      <c r="C45" t="inlineStr">
        <is>
          <t>Касса заказа (получено − выплачено):</t>
        </is>
      </c>
      <c r="D45" s="18">
        <f>D12-D44</f>
        <v/>
      </c>
    </row>
    <row r="47">
      <c r="B47" s="2" t="inlineStr">
        <is>
          <t>Это не прибыль. Прибыль = цена КП − себестоимость − НПД − агентские (Сводка).</t>
        </is>
      </c>
    </row>
  </sheetData>
  <mergeCells count="3">
    <mergeCell ref="B16:D16"/>
    <mergeCell ref="B5:D5"/>
    <mergeCell ref="B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13"/>
  <sheetViews>
    <sheetView workbookViewId="0">
      <selection activeCell="A1" sqref="A1"/>
    </sheetView>
  </sheetViews>
  <sheetFormatPr baseColWidth="8" defaultRowHeight="15"/>
  <cols>
    <col width="3" customWidth="1" min="1" max="1"/>
    <col width="120" customWidth="1" min="2" max="2"/>
  </cols>
  <sheetData>
    <row r="2">
      <c r="B2" s="1" t="inlineStr">
        <is>
          <t>Как работать с файлом</t>
        </is>
      </c>
    </row>
    <row r="4">
      <c r="B4" s="39" t="inlineStr">
        <is>
          <t>1. «Параметры» — наценка менеджера 15%, целевая маржа 20%, мин. маржа 10%, НПД 4% или 6%, аренда 2000 ₽/день.</t>
        </is>
      </c>
    </row>
    <row r="5">
      <c r="B5" s="39" t="inlineStr">
        <is>
          <t>2. «Металл» — кол-во и цены поставщика. Наценка менеджера считается как себестоимость × %.</t>
        </is>
      </c>
    </row>
    <row r="6">
      <c r="B6" s="39" t="inlineStr">
        <is>
          <t>3. «Калькуляция» — количества по этапам. Тип «закупка» → наценка менеджера. Аренда из Параметров.</t>
        </is>
      </c>
    </row>
    <row r="7">
      <c r="B7" s="39" t="inlineStr">
        <is>
          <t>4. «Сводка» — себестоимость и рекомендуемая цена. Введите цену КП в D24. Смотрите статус.</t>
        </is>
      </c>
    </row>
    <row r="8">
      <c r="B8" s="39" t="inlineStr">
        <is>
          <t>5. Таблица гибкой маржи 10%…35% — чтобы торговаться и не уходить ниже минимума.</t>
        </is>
      </c>
    </row>
    <row r="9">
      <c r="B9" s="39" t="inlineStr">
        <is>
          <t>6. «Касса заказа» — авансы и факт выплат. Не смешивать с маржой.</t>
        </is>
      </c>
    </row>
    <row r="10">
      <c r="B10" s="39" t="inlineStr"/>
    </row>
    <row r="11">
      <c r="B11" s="39" t="inlineStr">
        <is>
          <t>Уточнение про «нормы»: шаблоны расхода (например, на 1 м забора — X кг профиля и Y часов). Если их нет — каждый заказ считаем с нуля. Позже можно сделать заготовки под Ворота/Забор/Лестница.</t>
        </is>
      </c>
    </row>
    <row r="12">
      <c r="B12" s="39" t="inlineStr"/>
    </row>
    <row r="13">
      <c r="B13" s="39" t="inlineStr">
        <is>
          <t>Следующий этап по вашему запросу: справочник металла с ценами поставщика и связью с заказом.</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2026-08-09T21:07:17Z</dcterms:created>
  <dcterms:modified xsi:type="dcterms:W3CDTF">2026-08-09T21:07:17Z</dcterms:modified>
</cp:coreProperties>
</file>