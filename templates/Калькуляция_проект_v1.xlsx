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Сводка" sheetId="1" state="visible" r:id="rId1"/>
    <sheet name="Калькуляция" sheetId="2" state="visible" r:id="rId2"/>
    <sheet name="Металл" sheetId="3" state="visible" r:id="rId3"/>
    <sheet name="Предложение" sheetId="4" state="visible" r:id="rId4"/>
    <sheet name="Параметры" sheetId="5" state="visible" r:id="rId5"/>
    <sheet name="Касса" sheetId="6" state="visible" r:id="rId6"/>
    <sheet name="Инструкция" sheetId="7" state="visible" r:id="rId7"/>
  </sheets>
  <definedNames>
    <definedName name="_xlnm._FilterDatabase" localSheetId="1" hidden="1">'Калькуляция'!$B$15:$L$115</definedName>
    <definedName name="_xlnm._FilterDatabase" localSheetId="2" hidden="1">'Металл'!$B$5:$J$36</definedName>
    <definedName name="_xlnm.Print_Area" localSheetId="3">'Предложение'!$B$3:$F$71</definedName>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DD.MM.YYYY"/>
    <numFmt numFmtId="167" formatCode="#,##0.00&quot; ₽&quot;"/>
    <numFmt numFmtId="168" formatCode="0.0"/>
    <numFmt numFmtId="169" formatCode="[$-419]D MMMM YYYY;@"/>
  </numFmts>
  <fonts count="10">
    <font>
      <name val="Calibri"/>
      <family val="2"/>
      <color theme="1"/>
      <sz val="11"/>
      <scheme val="minor"/>
    </font>
    <font>
      <name val="Calibri"/>
      <b val="1"/>
      <color rgb="002F3E46"/>
      <sz val="16"/>
    </font>
    <font>
      <name val="Calibri"/>
      <i val="1"/>
      <color rgb="00666666"/>
      <sz val="9"/>
    </font>
    <font>
      <name val="Calibri"/>
      <b val="1"/>
      <color rgb="00FFFFFF"/>
      <sz val="11"/>
    </font>
    <font>
      <name val="Calibri"/>
      <b val="1"/>
      <color rgb="002F3E46"/>
      <sz val="11"/>
    </font>
    <font>
      <name val="Calibri"/>
      <b val="1"/>
      <color rgb="00FFFFFF"/>
      <sz val="12"/>
    </font>
    <font>
      <name val="Calibri"/>
      <color rgb="002F3E46"/>
      <sz val="11"/>
    </font>
    <font>
      <name val="Calibri"/>
      <b val="1"/>
      <color rgb="002F3E46"/>
      <sz val="14"/>
    </font>
    <font>
      <name val="Georgia"/>
      <b val="1"/>
      <color rgb="001A1A1A"/>
      <sz val="18"/>
    </font>
    <font>
      <name val="Georgia"/>
      <color rgb="001A1A1A"/>
      <sz val="11"/>
    </font>
  </fonts>
  <fills count="15">
    <fill>
      <patternFill/>
    </fill>
    <fill>
      <patternFill patternType="gray125"/>
    </fill>
    <fill>
      <patternFill patternType="solid">
        <fgColor rgb="002F3E46"/>
      </patternFill>
    </fill>
    <fill>
      <patternFill patternType="solid">
        <fgColor rgb="00F0F4F3"/>
      </patternFill>
    </fill>
    <fill>
      <patternFill patternType="solid">
        <fgColor rgb="00FFF3BF"/>
      </patternFill>
    </fill>
    <fill>
      <patternFill patternType="solid">
        <fgColor rgb="00E8EEF2"/>
      </patternFill>
    </fill>
    <fill>
      <patternFill patternType="solid">
        <fgColor rgb="0052796F"/>
      </patternFill>
    </fill>
    <fill>
      <patternFill patternType="solid">
        <fgColor rgb="00D8F3DC"/>
      </patternFill>
    </fill>
    <fill>
      <patternFill patternType="solid">
        <fgColor rgb="00FFE8A3"/>
      </patternFill>
    </fill>
    <fill>
      <patternFill patternType="solid">
        <fgColor rgb="006B9080"/>
      </patternFill>
    </fill>
    <fill>
      <patternFill patternType="solid">
        <fgColor rgb="00E8E8E8"/>
      </patternFill>
    </fill>
    <fill>
      <patternFill patternType="solid">
        <fgColor rgb="00C94C4C"/>
      </patternFill>
    </fill>
    <fill>
      <patternFill patternType="solid">
        <fgColor rgb="00B7D7A8"/>
      </patternFill>
    </fill>
    <fill>
      <patternFill patternType="solid">
        <fgColor rgb="00F6E59A"/>
      </patternFill>
    </fill>
    <fill>
      <patternFill patternType="solid">
        <fgColor rgb="00D9E8F5"/>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style="thin">
        <color rgb="00B0B0B0"/>
      </right>
      <top style="thin">
        <color rgb="00B0B0B0"/>
      </top>
      <bottom style="thin">
        <color rgb="00B0B0B0"/>
      </bottom>
      <diagonal/>
    </border>
    <border>
      <left/>
      <right/>
      <top style="thin">
        <color rgb="00B0B0B0"/>
      </top>
      <bottom style="thin">
        <color rgb="00B0B0B0"/>
      </bottom>
      <diagonal/>
    </border>
    <border>
      <left style="thin">
        <color rgb="00B0B0B0"/>
      </left>
      <right/>
      <top/>
      <bottom/>
      <diagonal/>
    </border>
    <border>
      <left/>
      <right style="thin">
        <color rgb="00B0B0B0"/>
      </right>
      <top/>
      <bottom/>
      <diagonal/>
    </border>
    <border>
      <left style="thin">
        <color rgb="00B0B0B0"/>
      </left>
      <right/>
      <top/>
      <bottom style="thin">
        <color rgb="00B0B0B0"/>
      </bottom>
      <diagonal/>
    </border>
    <border>
      <left/>
      <right style="thin">
        <color rgb="00B0B0B0"/>
      </right>
      <top/>
      <bottom style="thin">
        <color rgb="00B0B0B0"/>
      </bottom>
      <diagonal/>
    </border>
    <border>
      <left/>
      <right/>
      <top/>
      <bottom style="thin">
        <color rgb="00B0B0B0"/>
      </bottom>
      <diagonal/>
    </border>
  </borders>
  <cellStyleXfs count="1">
    <xf numFmtId="0" fontId="0" fillId="0" borderId="0"/>
  </cellStyleXfs>
  <cellXfs count="69">
    <xf numFmtId="0" fontId="0" fillId="0" borderId="0" pivotButton="0" quotePrefix="0" xfId="0"/>
    <xf numFmtId="0" fontId="1" fillId="0" borderId="0" pivotButton="0" quotePrefix="0" xfId="0"/>
    <xf numFmtId="0" fontId="2" fillId="0" borderId="0" pivotButton="0" quotePrefix="0" xfId="0"/>
    <xf numFmtId="0" fontId="5" fillId="6" borderId="1" applyAlignment="1" pivotButton="0" quotePrefix="0" xfId="0">
      <alignment horizontal="center" vertical="center" wrapText="1"/>
    </xf>
    <xf numFmtId="0" fontId="0" fillId="0" borderId="4" pivotButton="0" quotePrefix="0" xfId="0"/>
    <xf numFmtId="0" fontId="0" fillId="3" borderId="1" pivotButton="0" quotePrefix="0" xfId="0"/>
    <xf numFmtId="0" fontId="0" fillId="4" borderId="1" pivotButton="0" quotePrefix="0" xfId="0"/>
    <xf numFmtId="164" fontId="6" fillId="5" borderId="1" pivotButton="0" quotePrefix="0" xfId="0"/>
    <xf numFmtId="166" fontId="0" fillId="4" borderId="1" pivotButton="0" quotePrefix="0" xfId="0"/>
    <xf numFmtId="167" fontId="6" fillId="5" borderId="1" pivotButton="0" quotePrefix="0" xfId="0"/>
    <xf numFmtId="0" fontId="3" fillId="2" borderId="1" applyAlignment="1" pivotButton="0" quotePrefix="0" xfId="0">
      <alignment horizontal="center" vertical="center" wrapText="1"/>
    </xf>
    <xf numFmtId="0" fontId="0" fillId="0" borderId="5" pivotButton="0" quotePrefix="0" xfId="0"/>
    <xf numFmtId="0" fontId="4" fillId="3" borderId="1" pivotButton="0" quotePrefix="0" xfId="0"/>
    <xf numFmtId="167" fontId="4" fillId="5" borderId="1" pivotButton="0" quotePrefix="0" xfId="0"/>
    <xf numFmtId="0" fontId="6" fillId="3" borderId="1" pivotButton="0" quotePrefix="0" xfId="0"/>
    <xf numFmtId="2" fontId="6" fillId="5" borderId="1" pivotButton="0" quotePrefix="0" xfId="0"/>
    <xf numFmtId="0" fontId="4" fillId="4" borderId="1" pivotButton="0" quotePrefix="0" xfId="0"/>
    <xf numFmtId="167" fontId="7" fillId="4" borderId="1" pivotButton="0" quotePrefix="0" xfId="0"/>
    <xf numFmtId="167" fontId="7" fillId="7" borderId="1" pivotButton="0" quotePrefix="0" xfId="0"/>
    <xf numFmtId="167" fontId="6" fillId="8" borderId="1" pivotButton="0" quotePrefix="0" xfId="0"/>
    <xf numFmtId="164" fontId="4" fillId="5" borderId="1" pivotButton="0" quotePrefix="0" xfId="0"/>
    <xf numFmtId="0" fontId="4" fillId="5" borderId="1" pivotButton="0" quotePrefix="0" xfId="0"/>
    <xf numFmtId="164" fontId="0" fillId="3" borderId="1" pivotButton="0" quotePrefix="0" xfId="0"/>
    <xf numFmtId="164" fontId="0" fillId="7" borderId="1" pivotButton="0" quotePrefix="0" xfId="0"/>
    <xf numFmtId="167" fontId="6" fillId="7" borderId="1" pivotButton="0" quotePrefix="0" xfId="0"/>
    <xf numFmtId="2" fontId="4" fillId="5" borderId="1" pivotButton="0" quotePrefix="0" xfId="0"/>
    <xf numFmtId="0" fontId="5" fillId="6" borderId="0" pivotButton="0" quotePrefix="0" xfId="0"/>
    <xf numFmtId="0" fontId="0" fillId="0" borderId="1" pivotButton="0" quotePrefix="0" xfId="0"/>
    <xf numFmtId="167" fontId="0" fillId="5" borderId="1" pivotButton="0" quotePrefix="0" xfId="0"/>
    <xf numFmtId="167" fontId="0" fillId="4" borderId="1" pivotButton="0" quotePrefix="0" xfId="0"/>
    <xf numFmtId="0" fontId="0" fillId="5" borderId="1" pivotButton="0" quotePrefix="0" xfId="0"/>
    <xf numFmtId="168" fontId="0" fillId="3" borderId="1" pivotButton="0" quotePrefix="0" xfId="0"/>
    <xf numFmtId="0" fontId="4" fillId="0" borderId="0" pivotButton="0" quotePrefix="0" xfId="0"/>
    <xf numFmtId="167" fontId="4" fillId="7" borderId="1" pivotButton="0" quotePrefix="0" xfId="0"/>
    <xf numFmtId="0" fontId="8" fillId="9" borderId="0" applyAlignment="1" pivotButton="0" quotePrefix="0" xfId="0">
      <alignment horizontal="left" vertical="center" wrapText="1"/>
    </xf>
    <xf numFmtId="0" fontId="9" fillId="9" borderId="0" pivotButton="0" quotePrefix="0" xfId="0"/>
    <xf numFmtId="169" fontId="0" fillId="5" borderId="1" pivotButton="0" quotePrefix="0" xfId="0"/>
    <xf numFmtId="166" fontId="0" fillId="5" borderId="1" pivotButton="0" quotePrefix="0" xfId="0"/>
    <xf numFmtId="0" fontId="7" fillId="0" borderId="0" pivotButton="0" quotePrefix="0" xfId="0"/>
    <xf numFmtId="0" fontId="7" fillId="4" borderId="1" pivotButton="0" quotePrefix="0" xfId="0"/>
    <xf numFmtId="0" fontId="2" fillId="10" borderId="1" applyAlignment="1" pivotButton="0" quotePrefix="0" xfId="0">
      <alignment horizontal="center" vertical="center" wrapText="1"/>
    </xf>
    <xf numFmtId="0" fontId="0" fillId="0" borderId="3" pivotButton="0" quotePrefix="0" xfId="0"/>
    <xf numFmtId="0" fontId="0" fillId="0" borderId="2"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2" fillId="0" borderId="5" pivotButton="0" quotePrefix="0" xfId="0"/>
    <xf numFmtId="0" fontId="3" fillId="11" borderId="1" pivotButton="0" quotePrefix="0" xfId="0"/>
    <xf numFmtId="167" fontId="3" fillId="11" borderId="1" pivotButton="0" quotePrefix="0" xfId="0"/>
    <xf numFmtId="0" fontId="4" fillId="12" borderId="1" pivotButton="0" quotePrefix="0" xfId="0"/>
    <xf numFmtId="167" fontId="4" fillId="12" borderId="1" pivotButton="0" quotePrefix="0" xfId="0"/>
    <xf numFmtId="0" fontId="7" fillId="13" borderId="1" pivotButton="0" quotePrefix="0" xfId="0"/>
    <xf numFmtId="167" fontId="7" fillId="13" borderId="1" pivotButton="0" quotePrefix="0" xfId="0"/>
    <xf numFmtId="0" fontId="4" fillId="14" borderId="1" pivotButton="0" quotePrefix="0" xfId="0"/>
    <xf numFmtId="167" fontId="4" fillId="14" borderId="1" pivotButton="0" quotePrefix="0" xfId="0"/>
    <xf numFmtId="0" fontId="1" fillId="3" borderId="0" pivotButton="0" quotePrefix="0" xfId="0"/>
    <xf numFmtId="0" fontId="0" fillId="3" borderId="0" pivotButton="0" quotePrefix="0" xfId="0"/>
    <xf numFmtId="0" fontId="6" fillId="3" borderId="0" pivotButton="0" quotePrefix="0" xfId="0"/>
    <xf numFmtId="0" fontId="6" fillId="0" borderId="0" pivotButton="0" quotePrefix="0" xfId="0"/>
    <xf numFmtId="0" fontId="2" fillId="3" borderId="1" applyAlignment="1" pivotButton="0" quotePrefix="0" xfId="0">
      <alignment horizontal="center" vertical="bottom"/>
    </xf>
    <xf numFmtId="164" fontId="4" fillId="4" borderId="1" pivotButton="0" quotePrefix="0" xfId="0"/>
    <xf numFmtId="0" fontId="2" fillId="0" borderId="1" pivotButton="0" quotePrefix="0" xfId="0"/>
    <xf numFmtId="4" fontId="4" fillId="4" borderId="1" pivotButton="0" quotePrefix="0" xfId="0"/>
    <xf numFmtId="165" fontId="4" fillId="5" borderId="1" pivotButton="0" quotePrefix="0" xfId="0"/>
    <xf numFmtId="0" fontId="0" fillId="3" borderId="0" applyAlignment="1" pivotButton="0" quotePrefix="0" xfId="0">
      <alignment vertical="top" wrapText="1"/>
    </xf>
    <xf numFmtId="0" fontId="6" fillId="8" borderId="0" applyAlignment="1" pivotButton="0" quotePrefix="0" xfId="0">
      <alignment vertical="top" wrapText="1"/>
    </xf>
    <xf numFmtId="167" fontId="4" fillId="8" borderId="1" pivotButton="0" quotePrefix="0" xfId="0"/>
  </cellXfs>
  <cellStyles count="1">
    <cellStyle name="Normal" xfId="0" builtinId="0" hidden="0"/>
  </cellStyles>
  <dxfs count="3">
    <dxf>
      <fill>
        <patternFill patternType="solid">
          <fgColor rgb="00D8F3DC"/>
        </patternFill>
      </fill>
    </dxf>
    <dxf>
      <fill>
        <patternFill patternType="solid">
          <fgColor rgb="00FFE8A3"/>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22" customWidth="1" min="3" max="3"/>
    <col width="16" customWidth="1" min="4" max="4"/>
    <col width="22" customWidth="1" min="5" max="5"/>
    <col width="14" customWidth="1" min="6" max="6"/>
    <col width="12" customWidth="1" min="7" max="7"/>
  </cols>
  <sheetData>
    <row r="2">
      <c r="B2" s="1" t="inlineStr">
        <is>
          <t>СВОДКА ЗАКАЗА — рентабельность и цена КП</t>
        </is>
      </c>
    </row>
    <row r="3">
      <c r="B3" s="2" t="inlineStr">
        <is>
          <t>Сначала заполните Металл и Калькуляцию. Жёлтое — ввод. Остальное считается автоматически.</t>
        </is>
      </c>
    </row>
    <row r="5">
      <c r="B5" s="3" t="inlineStr">
        <is>
          <t>ШАПКА ЗАКАЗА</t>
        </is>
      </c>
      <c r="C5" s="4" t="n"/>
      <c r="E5" s="3" t="inlineStr">
        <is>
          <t>ПАРАМЕТРЫ (зеркало)</t>
        </is>
      </c>
      <c r="F5" s="4" t="n"/>
    </row>
    <row r="6">
      <c r="B6" s="5" t="inlineStr">
        <is>
          <t>Объект</t>
        </is>
      </c>
      <c r="C6" s="6" t="n"/>
      <c r="E6" s="5" t="inlineStr">
        <is>
          <t>Наценка менеджера</t>
        </is>
      </c>
      <c r="F6" s="7">
        <f>Параметры!C6</f>
        <v/>
      </c>
    </row>
    <row r="7">
      <c r="B7" s="5" t="inlineStr">
        <is>
          <t>Конструкция / изделие</t>
        </is>
      </c>
      <c r="C7" s="6" t="n"/>
      <c r="E7" s="5" t="inlineStr">
        <is>
          <t>Целевая маржа</t>
        </is>
      </c>
      <c r="F7" s="7">
        <f>Параметры!C7</f>
        <v/>
      </c>
    </row>
    <row r="8">
      <c r="B8" s="5" t="inlineStr">
        <is>
          <t>Тип</t>
        </is>
      </c>
      <c r="C8" s="6" t="inlineStr">
        <is>
          <t>Ворота</t>
        </is>
      </c>
      <c r="E8" s="5" t="inlineStr">
        <is>
          <t>Мин. маржа</t>
        </is>
      </c>
      <c r="F8" s="7">
        <f>Параметры!C8</f>
        <v/>
      </c>
    </row>
    <row r="9">
      <c r="B9" s="5" t="inlineStr">
        <is>
          <t>Дата расчёта</t>
        </is>
      </c>
      <c r="C9" s="8">
        <f>TODAY()</f>
        <v/>
      </c>
      <c r="E9" s="5" t="inlineStr">
        <is>
          <t>НПД</t>
        </is>
      </c>
      <c r="F9" s="7">
        <f>Параметры!C9</f>
        <v/>
      </c>
    </row>
    <row r="10">
      <c r="B10" s="5" t="inlineStr">
        <is>
          <t>Клиент</t>
        </is>
      </c>
      <c r="C10" s="6" t="n"/>
      <c r="E10" s="5" t="inlineStr">
        <is>
          <t>Аренда / день</t>
        </is>
      </c>
      <c r="F10" s="9">
        <f>Параметры!C10</f>
        <v/>
      </c>
    </row>
    <row r="11">
      <c r="B11" s="5" t="inlineStr">
        <is>
          <t>№ клиента</t>
        </is>
      </c>
      <c r="C11" s="6" t="n"/>
      <c r="E11" s="5" t="inlineStr">
        <is>
          <t>Агентские</t>
        </is>
      </c>
      <c r="F11" s="7">
        <f>Параметры!C12</f>
        <v/>
      </c>
    </row>
    <row r="13">
      <c r="B13" s="10" t="inlineStr">
        <is>
          <t>P&amp;L ПРОЕКТА</t>
        </is>
      </c>
      <c r="C13" s="11" t="n"/>
      <c r="D13" s="4" t="n"/>
    </row>
    <row r="14">
      <c r="B14" s="12" t="inlineStr">
        <is>
          <t>Себестоимость проекта (реальные затраты)</t>
        </is>
      </c>
      <c r="C14" s="4" t="n"/>
      <c r="D14" s="13">
        <f>Калькуляция!O8</f>
        <v/>
      </c>
    </row>
    <row r="15">
      <c r="B15" s="14" t="inlineStr">
        <is>
          <t xml:space="preserve">  в т.ч. закупки у поставщиков</t>
        </is>
      </c>
      <c r="C15" s="4" t="n"/>
      <c r="D15" s="9">
        <f>Калькуляция!O9</f>
        <v/>
      </c>
    </row>
    <row r="16">
      <c r="B16" s="14" t="inlineStr">
        <is>
          <t xml:space="preserve">  в т.ч. труд</t>
        </is>
      </c>
      <c r="C16" s="4" t="n"/>
      <c r="D16" s="9">
        <f>Калькуляция!O10</f>
        <v/>
      </c>
    </row>
    <row r="17">
      <c r="B17" s="14" t="inlineStr">
        <is>
          <t xml:space="preserve">  в т.ч. транспорт</t>
        </is>
      </c>
      <c r="C17" s="4" t="n"/>
      <c r="D17" s="9">
        <f>Калькуляция!O11</f>
        <v/>
      </c>
    </row>
    <row r="18">
      <c r="B18" s="14" t="inlineStr">
        <is>
          <t xml:space="preserve">  в т.ч. аренда цеха</t>
        </is>
      </c>
      <c r="C18" s="4" t="n"/>
      <c r="D18" s="9">
        <f>Калькуляция!O12</f>
        <v/>
      </c>
    </row>
    <row r="19">
      <c r="B19" s="14" t="inlineStr">
        <is>
          <t xml:space="preserve">  в т.ч. услуги / прочее</t>
        </is>
      </c>
      <c r="C19" s="4" t="n"/>
      <c r="D19" s="9">
        <f>Калькуляция!O13</f>
        <v/>
      </c>
    </row>
    <row r="20">
      <c r="B20" s="12" t="inlineStr">
        <is>
          <t>Наценка менеджера на закупки (часть прибыли)</t>
        </is>
      </c>
      <c r="C20" s="4" t="n"/>
      <c r="D20" s="13">
        <f>Калькуляция!O14</f>
        <v/>
      </c>
    </row>
    <row r="21">
      <c r="B21" s="14" t="inlineStr">
        <is>
          <t>Дни цеха (по строкам аренды)</t>
        </is>
      </c>
      <c r="C21" s="4" t="n"/>
      <c r="D21" s="15">
        <f>Калькуляция!O15</f>
        <v/>
      </c>
    </row>
    <row r="23">
      <c r="B23" s="10" t="inlineStr">
        <is>
          <t>ЦЕНА И МАРЖА</t>
        </is>
      </c>
      <c r="C23" s="11" t="n"/>
      <c r="D23" s="4" t="n"/>
    </row>
    <row r="24">
      <c r="B24" s="16" t="inlineStr">
        <is>
          <t>Цена КП (то, что выставите клиенту)</t>
        </is>
      </c>
      <c r="C24" s="4" t="n"/>
      <c r="D24" s="17" t="n">
        <v>0</v>
      </c>
    </row>
    <row r="25">
      <c r="B25" s="5" t="inlineStr">
        <is>
          <t>Рекомендуемая цена при целевой марже</t>
        </is>
      </c>
      <c r="C25" s="4" t="n"/>
      <c r="D25" s="18">
        <f>IF((1-F9-F7-F11)&lt;=0,"Ошибка %",D14/(1-F9-F7-F11))</f>
        <v/>
      </c>
    </row>
    <row r="26">
      <c r="B26" s="5" t="inlineStr">
        <is>
          <t>Минимальная цена (при мин. марже)</t>
        </is>
      </c>
      <c r="C26" s="4" t="n"/>
      <c r="D26" s="19">
        <f>IF((1-F9-F8-F11)&lt;=0,"Ошибка %",D14/(1-F9-F8-F11))</f>
        <v/>
      </c>
    </row>
    <row r="27">
      <c r="B27" s="5" t="inlineStr">
        <is>
          <t>НПД с цены КП</t>
        </is>
      </c>
      <c r="C27" s="4" t="n"/>
      <c r="D27" s="9">
        <f>D24*F9</f>
        <v/>
      </c>
    </row>
    <row r="28">
      <c r="B28" s="5" t="inlineStr">
        <is>
          <t>Агентские с цены КП</t>
        </is>
      </c>
      <c r="C28" s="4" t="n"/>
      <c r="D28" s="9">
        <f>D24*F11</f>
        <v/>
      </c>
    </row>
    <row r="29">
      <c r="B29" s="12" t="inlineStr">
        <is>
          <t>Чистая прибыль при цене КП</t>
        </is>
      </c>
      <c r="C29" s="4" t="n"/>
      <c r="D29" s="13">
        <f>D24-D14-D27-D28</f>
        <v/>
      </c>
    </row>
    <row r="30">
      <c r="B30" s="12" t="inlineStr">
        <is>
          <t>Маржа % при цене КП (от выручки)</t>
        </is>
      </c>
      <c r="C30" s="4" t="n"/>
      <c r="D30" s="20">
        <f>IF(D24=0,0,D29/D24)</f>
        <v/>
      </c>
    </row>
    <row r="31">
      <c r="B31" s="12" t="inlineStr">
        <is>
          <t>Статус</t>
        </is>
      </c>
      <c r="C31" s="4" t="n"/>
      <c r="D31" s="21">
        <f>IF(D24=0,"Введите цену КП",IF(D30&lt;F8,"НИЖЕ МИНИМУМА",IF(D30&lt;F7,"НИЖЕ ЦЕЛИ","ЦЕЛЬ ДОСТИГНУТА")))</f>
        <v/>
      </c>
    </row>
    <row r="33">
      <c r="B33" s="3" t="inlineStr">
        <is>
          <t>ГИБКАЯ МАРЖА — таблица цен</t>
        </is>
      </c>
      <c r="C33" s="11" t="n"/>
      <c r="D33" s="11" t="n"/>
      <c r="E33" s="4" t="n"/>
    </row>
    <row r="34">
      <c r="B34" s="10" t="inlineStr">
        <is>
          <t>Целевая маржа</t>
        </is>
      </c>
      <c r="C34" s="10" t="inlineStr">
        <is>
          <t>Цена КП</t>
        </is>
      </c>
      <c r="D34" s="10" t="inlineStr">
        <is>
          <t>НПД</t>
        </is>
      </c>
      <c r="E34" s="10" t="inlineStr">
        <is>
          <t>Прибыль</t>
        </is>
      </c>
    </row>
    <row r="35">
      <c r="B35" s="22" t="n">
        <v>0.1</v>
      </c>
      <c r="C35" s="9">
        <f>IF((1-$F$9-B35-$F$11)&lt;=0,0,$D$14/(1-$F$9-B35-$F$11))</f>
        <v/>
      </c>
      <c r="D35" s="9">
        <f>C35*$F$9</f>
        <v/>
      </c>
      <c r="E35" s="9">
        <f>C35-$D$14-D35-C35*$F$11</f>
        <v/>
      </c>
    </row>
    <row r="36">
      <c r="B36" s="22" t="n">
        <v>0.15</v>
      </c>
      <c r="C36" s="9">
        <f>IF((1-$F$9-B36-$F$11)&lt;=0,0,$D$14/(1-$F$9-B36-$F$11))</f>
        <v/>
      </c>
      <c r="D36" s="9">
        <f>C36*$F$9</f>
        <v/>
      </c>
      <c r="E36" s="9">
        <f>C36-$D$14-D36-C36*$F$11</f>
        <v/>
      </c>
    </row>
    <row r="37">
      <c r="B37" s="23" t="n">
        <v>0.2</v>
      </c>
      <c r="C37" s="24">
        <f>IF((1-$F$9-B37-$F$11)&lt;=0,0,$D$14/(1-$F$9-B37-$F$11))</f>
        <v/>
      </c>
      <c r="D37" s="24">
        <f>C37*$F$9</f>
        <v/>
      </c>
      <c r="E37" s="24">
        <f>C37-$D$14-D37-C37*$F$11</f>
        <v/>
      </c>
    </row>
    <row r="38">
      <c r="B38" s="22" t="n">
        <v>0.25</v>
      </c>
      <c r="C38" s="9">
        <f>IF((1-$F$9-B38-$F$11)&lt;=0,0,$D$14/(1-$F$9-B38-$F$11))</f>
        <v/>
      </c>
      <c r="D38" s="9">
        <f>C38*$F$9</f>
        <v/>
      </c>
      <c r="E38" s="9">
        <f>C38-$D$14-D38-C38*$F$11</f>
        <v/>
      </c>
    </row>
    <row r="39">
      <c r="B39" s="22" t="n">
        <v>0.3</v>
      </c>
      <c r="C39" s="9">
        <f>IF((1-$F$9-B39-$F$11)&lt;=0,0,$D$14/(1-$F$9-B39-$F$11))</f>
        <v/>
      </c>
      <c r="D39" s="9">
        <f>C39*$F$9</f>
        <v/>
      </c>
      <c r="E39" s="9">
        <f>C39-$D$14-D39-C39*$F$11</f>
        <v/>
      </c>
    </row>
    <row r="40">
      <c r="B40" s="22" t="n">
        <v>0.35</v>
      </c>
      <c r="C40" s="9">
        <f>IF((1-$F$9-B40-$F$11)&lt;=0,0,$D$14/(1-$F$9-B40-$F$11))</f>
        <v/>
      </c>
      <c r="D40" s="9">
        <f>C40*$F$9</f>
        <v/>
      </c>
      <c r="E40" s="9">
        <f>C40-$D$14-D40-C40*$F$11</f>
        <v/>
      </c>
    </row>
    <row r="42">
      <c r="B42" s="2" t="inlineStr">
        <is>
          <t>Строка 20% — базовый ориентир. Целевую маржу меняйте на листе Параметры.</t>
        </is>
      </c>
    </row>
    <row r="44">
      <c r="B44" s="3" t="inlineStr">
        <is>
          <t>КОНТРОЛЬ</t>
        </is>
      </c>
      <c r="C44" s="11" t="n"/>
      <c r="D44" s="4" t="n"/>
    </row>
    <row r="45">
      <c r="B45" s="5" t="inlineStr">
        <is>
          <t>Доля наценки менеджера в прибыли (при цене КП)</t>
        </is>
      </c>
      <c r="C45" s="4" t="n"/>
      <c r="D45" s="7">
        <f>IF(D29&lt;=0,0,D20/D29)</f>
        <v/>
      </c>
    </row>
    <row r="46">
      <c r="B46" s="5" t="inlineStr">
        <is>
          <t>Выручка на день цеха</t>
        </is>
      </c>
      <c r="C46" s="4" t="n"/>
      <c r="D46" s="9">
        <f>IF(D21=0,0,D24/D21)</f>
        <v/>
      </c>
    </row>
    <row r="47">
      <c r="B47" s="5" t="inlineStr">
        <is>
          <t>Прибыль на день цеха</t>
        </is>
      </c>
      <c r="C47" s="4" t="n"/>
      <c r="D47" s="9">
        <f>IF(D21=0,0,D29/D21)</f>
        <v/>
      </c>
    </row>
    <row r="49">
      <c r="B49" s="2" t="inlineStr">
        <is>
          <t>Рабочий контур: Металл → Калькуляция → Сводка (цена КП). Лист «Касса» — только ПОСЛЕ сделки, для авансов/выплат. На расчёт цены НЕ влияет — можно не трогать.</t>
        </is>
      </c>
    </row>
    <row r="50"/>
  </sheetData>
  <mergeCells count="29">
    <mergeCell ref="B2:G2"/>
    <mergeCell ref="B47:C47"/>
    <mergeCell ref="B16:C16"/>
    <mergeCell ref="B25:C25"/>
    <mergeCell ref="B23:D23"/>
    <mergeCell ref="B46:C46"/>
    <mergeCell ref="E5:F5"/>
    <mergeCell ref="B13:D13"/>
    <mergeCell ref="B33:E33"/>
    <mergeCell ref="B44:D44"/>
    <mergeCell ref="B31:C31"/>
    <mergeCell ref="B27:C27"/>
    <mergeCell ref="B18:C18"/>
    <mergeCell ref="B21:C21"/>
    <mergeCell ref="B14:C14"/>
    <mergeCell ref="B17:C17"/>
    <mergeCell ref="B29:C29"/>
    <mergeCell ref="B19:C19"/>
    <mergeCell ref="B28:C28"/>
    <mergeCell ref="B42:E42"/>
    <mergeCell ref="B3:G3"/>
    <mergeCell ref="B24:C24"/>
    <mergeCell ref="B30:C30"/>
    <mergeCell ref="B15:C15"/>
    <mergeCell ref="B5:C5"/>
    <mergeCell ref="B20:C20"/>
    <mergeCell ref="B45:C45"/>
    <mergeCell ref="B49:G50"/>
    <mergeCell ref="B26:C26"/>
  </mergeCells>
  <conditionalFormatting sqref="D31">
    <cfRule type="expression" priority="1" dxfId="0">
      <formula>$D$31="ЦЕЛЬ ДОСТИГНУТА"</formula>
    </cfRule>
    <cfRule type="expression" priority="2" dxfId="1">
      <formula>$D$31="НИЖЕ ЦЕЛИ"</formula>
    </cfRule>
    <cfRule type="expression" priority="3" dxfId="2">
      <formula>$D$31="НИЖЕ МИНИМУМА"</formula>
    </cfRule>
  </conditionalFormatting>
  <conditionalFormatting sqref="D30">
    <cfRule type="cellIs" priority="4" operator="lessThan" dxfId="2">
      <formula>$F$8</formula>
    </cfRule>
    <cfRule type="expression" priority="5" dxfId="1">
      <formula>AND($D$30&gt;=$F$8,$D$30&lt;$F$7)</formula>
    </cfRule>
    <cfRule type="cellIs" priority="6" operator="greaterThanOrEqual" dxfId="0">
      <formula>$F$7</formula>
    </cfRule>
  </conditionalFormatting>
  <dataValidations count="1">
    <dataValidation sqref="C8" showDropDown="0" showInputMessage="0" showErrorMessage="0" allowBlank="1" type="list">
      <formula1>Параметры!$B$34:$B$41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O117"/>
  <sheetViews>
    <sheetView workbookViewId="0">
      <pane xSplit="1" ySplit="15" topLeftCell="B16" activePane="bottomRight" state="frozen"/>
      <selection pane="topRight"/>
      <selection pane="bottomLeft"/>
      <selection pane="bottomRight" activeCell="A1" sqref="A1"/>
    </sheetView>
  </sheetViews>
  <sheetFormatPr baseColWidth="8" defaultRowHeight="15"/>
  <cols>
    <col width="3" customWidth="1" min="1" max="1"/>
    <col width="16" customWidth="1" min="2" max="2"/>
    <col width="42" customWidth="1" min="3" max="3"/>
    <col width="12" customWidth="1" min="4" max="4"/>
    <col width="14" customWidth="1" min="5" max="5"/>
    <col width="10" customWidth="1" min="6" max="6"/>
    <col width="10" customWidth="1" min="7" max="7"/>
    <col width="14" customWidth="1" min="8" max="8"/>
    <col width="16" customWidth="1" min="9" max="9"/>
    <col width="12" customWidth="1" min="10" max="10"/>
    <col width="3" customWidth="1" min="11" max="11"/>
    <col width="40" customWidth="1" min="12" max="12"/>
    <col width="3" customWidth="1" min="13" max="13"/>
    <col width="28" customWidth="1" min="14" max="14"/>
    <col width="14" customWidth="1" min="15" max="15"/>
  </cols>
  <sheetData>
    <row r="2">
      <c r="B2" s="1" t="inlineStr">
        <is>
          <t>КАЛЬКУЛЯЦИЯ ПРОЕКТА</t>
        </is>
      </c>
    </row>
    <row r="3">
      <c r="B3" s="2" t="inlineStr">
        <is>
          <t>Жёлтые — ввод. Тип «закупка» получает наценку менеджера из Параметров. Аренда подтягивает ставку/день. Итоги справа — для Сводки.</t>
        </is>
      </c>
    </row>
    <row r="5">
      <c r="N5" s="10" t="inlineStr">
        <is>
          <t>ИТОГИ ДЛЯ СВОДКИ</t>
        </is>
      </c>
      <c r="O5" s="4" t="n"/>
    </row>
    <row r="6">
      <c r="N6" s="5" t="inlineStr">
        <is>
          <t>Контроль суммы себест.</t>
        </is>
      </c>
      <c r="O6" s="13">
        <f>SUM(H16:H250)</f>
        <v/>
      </c>
    </row>
    <row r="7">
      <c r="N7" s="5" t="inlineStr">
        <is>
          <t>Контроль наценки менеджера</t>
        </is>
      </c>
      <c r="O7" s="13">
        <f>SUM(I16:I250)</f>
        <v/>
      </c>
    </row>
    <row r="8">
      <c r="N8" s="5" t="inlineStr">
        <is>
          <t>Себестоимость проекта</t>
        </is>
      </c>
      <c r="O8" s="13">
        <f>O6</f>
        <v/>
      </c>
    </row>
    <row r="9">
      <c r="N9" s="5" t="inlineStr">
        <is>
          <t>Закупки</t>
        </is>
      </c>
      <c r="O9" s="13">
        <f>SUMIF(D16:D250,"закупка",H16:H250)</f>
        <v/>
      </c>
    </row>
    <row r="10">
      <c r="N10" s="5" t="inlineStr">
        <is>
          <t>Труд</t>
        </is>
      </c>
      <c r="O10" s="13">
        <f>SUMIF(D16:D250,"труд",H16:H250)</f>
        <v/>
      </c>
    </row>
    <row r="11">
      <c r="N11" s="5" t="inlineStr">
        <is>
          <t>Транспорт</t>
        </is>
      </c>
      <c r="O11" s="13">
        <f>SUMIF(D16:D250,"транспорт",H16:H250)</f>
        <v/>
      </c>
    </row>
    <row r="12">
      <c r="N12" s="5" t="inlineStr">
        <is>
          <t>Аренда</t>
        </is>
      </c>
      <c r="O12" s="13">
        <f>SUMIF(D16:D250,"аренда",H16:H250)</f>
        <v/>
      </c>
    </row>
    <row r="13">
      <c r="N13" s="5" t="inlineStr">
        <is>
          <t>Услуги/прочее</t>
        </is>
      </c>
      <c r="O13" s="13">
        <f>O6-O9-O10-O11-O12</f>
        <v/>
      </c>
    </row>
    <row r="14">
      <c r="N14" s="5" t="inlineStr">
        <is>
          <t>Наценка менеджера</t>
        </is>
      </c>
      <c r="O14" s="13">
        <f>O7</f>
        <v/>
      </c>
    </row>
    <row r="15">
      <c r="B15" s="10" t="inlineStr">
        <is>
          <t>Этап</t>
        </is>
      </c>
      <c r="C15" s="10" t="inlineStr">
        <is>
          <t>Статья / обоснование</t>
        </is>
      </c>
      <c r="D15" s="10" t="inlineStr">
        <is>
          <t>Тип</t>
        </is>
      </c>
      <c r="E15" s="10" t="inlineStr">
        <is>
          <t>Цена / ставка</t>
        </is>
      </c>
      <c r="F15" s="10" t="inlineStr">
        <is>
          <t>Кол-во</t>
        </is>
      </c>
      <c r="G15" s="10" t="inlineStr">
        <is>
          <t>Ед.</t>
        </is>
      </c>
      <c r="H15" s="10" t="inlineStr">
        <is>
          <t>Себестоимость</t>
        </is>
      </c>
      <c r="I15" s="10" t="inlineStr">
        <is>
          <t>Наценка менеджера</t>
        </is>
      </c>
      <c r="J15" s="10" t="inlineStr">
        <is>
          <t>В базу КП</t>
        </is>
      </c>
      <c r="L15" s="10" t="inlineStr">
        <is>
          <t>Примечание</t>
        </is>
      </c>
      <c r="N15" s="5" t="inlineStr">
        <is>
          <t>Дни цеха</t>
        </is>
      </c>
      <c r="O15" s="25">
        <f>SUMIF(D16:D250,"аренда",F16:F250)</f>
        <v/>
      </c>
    </row>
    <row r="16">
      <c r="B16" s="26" t="inlineStr">
        <is>
          <t>1. Проектирование / замер</t>
        </is>
      </c>
      <c r="C16" s="26" t="n"/>
      <c r="D16" s="26" t="n"/>
      <c r="E16" s="26" t="n"/>
      <c r="F16" s="26" t="n"/>
      <c r="G16" s="26" t="n"/>
      <c r="H16" s="26" t="n"/>
      <c r="I16" s="26" t="n"/>
      <c r="J16" s="26" t="n"/>
      <c r="L16" s="26" t="n"/>
    </row>
    <row r="17">
      <c r="B17" s="27" t="inlineStr">
        <is>
          <t>Проектирование</t>
        </is>
      </c>
      <c r="C17" s="6" t="inlineStr">
        <is>
          <t>Аренда на замер</t>
        </is>
      </c>
      <c r="D17" s="6" t="inlineStr">
        <is>
          <t>аренда</t>
        </is>
      </c>
      <c r="E17" s="28">
        <f>Параметры!$C$10</f>
        <v/>
      </c>
      <c r="F17" s="6" t="n">
        <v>0</v>
      </c>
      <c r="G17" s="6" t="inlineStr">
        <is>
          <t>день</t>
        </is>
      </c>
      <c r="H17" s="28">
        <f>IF(OR(E17="",F17=""),0,E17*F17)</f>
        <v/>
      </c>
      <c r="I17" s="28">
        <f>IF(D17="закупка",H17*Параметры!$C$6,0)</f>
        <v/>
      </c>
      <c r="J17" s="28">
        <f>H17+I17</f>
        <v/>
      </c>
      <c r="L17" s="6" t="inlineStr">
        <is>
          <t>Ставка аренды из Параметры</t>
        </is>
      </c>
    </row>
    <row r="18">
      <c r="B18" s="27" t="inlineStr">
        <is>
          <t>Проектирование</t>
        </is>
      </c>
      <c r="C18" s="6" t="inlineStr">
        <is>
          <t>Транспорт по городу</t>
        </is>
      </c>
      <c r="D18" s="6" t="inlineStr">
        <is>
          <t>транспорт</t>
        </is>
      </c>
      <c r="E18" s="29" t="n">
        <v>2000</v>
      </c>
      <c r="F18" s="6" t="n">
        <v>0</v>
      </c>
      <c r="G18" s="6" t="inlineStr">
        <is>
          <t>выезд</t>
        </is>
      </c>
      <c r="H18" s="28">
        <f>IF(OR(E18="",F18=""),0,E18*F18)</f>
        <v/>
      </c>
      <c r="I18" s="28">
        <f>IF(D18="закупка",H18*Параметры!$C$6,0)</f>
        <v/>
      </c>
      <c r="J18" s="28">
        <f>H18+I18</f>
        <v/>
      </c>
      <c r="L18" s="6" t="inlineStr"/>
    </row>
    <row r="19">
      <c r="B19" s="27" t="inlineStr">
        <is>
          <t>Проектирование</t>
        </is>
      </c>
      <c r="C19" s="6" t="inlineStr">
        <is>
          <t>Транспорт по области</t>
        </is>
      </c>
      <c r="D19" s="6" t="inlineStr">
        <is>
          <t>транспорт</t>
        </is>
      </c>
      <c r="E19" s="29" t="n">
        <v>4000</v>
      </c>
      <c r="F19" s="6" t="n">
        <v>0</v>
      </c>
      <c r="G19" s="6" t="inlineStr">
        <is>
          <t>выезд</t>
        </is>
      </c>
      <c r="H19" s="28">
        <f>IF(OR(E19="",F19=""),0,E19*F19)</f>
        <v/>
      </c>
      <c r="I19" s="28">
        <f>IF(D19="закупка",H19*Параметры!$C$6,0)</f>
        <v/>
      </c>
      <c r="J19" s="28">
        <f>H19+I19</f>
        <v/>
      </c>
      <c r="L19" s="6" t="inlineStr"/>
    </row>
    <row r="20">
      <c r="B20" s="27" t="inlineStr">
        <is>
          <t>Проектирование</t>
        </is>
      </c>
      <c r="C20" s="6" t="inlineStr">
        <is>
          <t>Замер</t>
        </is>
      </c>
      <c r="D20" s="6" t="inlineStr">
        <is>
          <t>услуга</t>
        </is>
      </c>
      <c r="E20" s="29" t="n">
        <v>6000</v>
      </c>
      <c r="F20" s="6" t="n">
        <v>0</v>
      </c>
      <c r="G20" s="6" t="inlineStr">
        <is>
          <t>услуга</t>
        </is>
      </c>
      <c r="H20" s="28">
        <f>IF(OR(E20="",F20=""),0,E20*F20)</f>
        <v/>
      </c>
      <c r="I20" s="28">
        <f>IF(D20="закупка",H20*Параметры!$C$6,0)</f>
        <v/>
      </c>
      <c r="J20" s="28">
        <f>H20+I20</f>
        <v/>
      </c>
      <c r="L20" s="6" t="inlineStr"/>
    </row>
    <row r="21">
      <c r="B21" s="27" t="inlineStr">
        <is>
          <t>Проектирование</t>
        </is>
      </c>
      <c r="C21" s="6" t="inlineStr">
        <is>
          <t>Консультация</t>
        </is>
      </c>
      <c r="D21" s="6" t="inlineStr">
        <is>
          <t>услуга</t>
        </is>
      </c>
      <c r="E21" s="29" t="n">
        <v>6000</v>
      </c>
      <c r="F21" s="6" t="n">
        <v>0</v>
      </c>
      <c r="G21" s="6" t="inlineStr">
        <is>
          <t>услуга</t>
        </is>
      </c>
      <c r="H21" s="28">
        <f>IF(OR(E21="",F21=""),0,E21*F21)</f>
        <v/>
      </c>
      <c r="I21" s="28">
        <f>IF(D21="закупка",H21*Параметры!$C$6,0)</f>
        <v/>
      </c>
      <c r="J21" s="28">
        <f>H21+I21</f>
        <v/>
      </c>
      <c r="L21" s="6" t="inlineStr"/>
    </row>
    <row r="22">
      <c r="B22" s="27" t="inlineStr">
        <is>
          <t>Проектирование</t>
        </is>
      </c>
      <c r="C22" s="6" t="inlineStr">
        <is>
          <t>Проектирование, эскизы</t>
        </is>
      </c>
      <c r="D22" s="6" t="inlineStr">
        <is>
          <t>услуга</t>
        </is>
      </c>
      <c r="E22" s="29" t="n">
        <v>13000</v>
      </c>
      <c r="F22" s="6" t="n">
        <v>0</v>
      </c>
      <c r="G22" s="6" t="inlineStr">
        <is>
          <t>услуга</t>
        </is>
      </c>
      <c r="H22" s="28">
        <f>IF(OR(E22="",F22=""),0,E22*F22)</f>
        <v/>
      </c>
      <c r="I22" s="28">
        <f>IF(D22="закупка",H22*Параметры!$C$6,0)</f>
        <v/>
      </c>
      <c r="J22" s="28">
        <f>H22+I22</f>
        <v/>
      </c>
      <c r="L22" s="6" t="inlineStr"/>
    </row>
    <row r="23">
      <c r="B23" s="26" t="inlineStr">
        <is>
          <t>2. Снять лекала / подготовка</t>
        </is>
      </c>
      <c r="C23" s="26" t="n"/>
      <c r="D23" s="26" t="n"/>
      <c r="E23" s="26" t="n"/>
      <c r="F23" s="26" t="n"/>
      <c r="G23" s="26" t="n"/>
      <c r="H23" s="26" t="n"/>
      <c r="I23" s="26" t="n"/>
      <c r="J23" s="26" t="n"/>
      <c r="L23" s="26" t="n"/>
    </row>
    <row r="24">
      <c r="B24" s="27" t="inlineStr">
        <is>
          <t>Лекала</t>
        </is>
      </c>
      <c r="C24" s="6" t="inlineStr">
        <is>
          <t>Аренда</t>
        </is>
      </c>
      <c r="D24" s="6" t="inlineStr">
        <is>
          <t>аренда</t>
        </is>
      </c>
      <c r="E24" s="28">
        <f>Параметры!$C$10</f>
        <v/>
      </c>
      <c r="F24" s="6" t="n">
        <v>0</v>
      </c>
      <c r="G24" s="6" t="inlineStr">
        <is>
          <t>день</t>
        </is>
      </c>
      <c r="H24" s="28">
        <f>IF(OR(E24="",F24=""),0,E24*F24)</f>
        <v/>
      </c>
      <c r="I24" s="28">
        <f>IF(D24="закупка",H24*Параметры!$C$6,0)</f>
        <v/>
      </c>
      <c r="J24" s="28">
        <f>H24+I24</f>
        <v/>
      </c>
      <c r="L24" s="6" t="inlineStr">
        <is>
          <t>Ставка аренды из Параметры</t>
        </is>
      </c>
    </row>
    <row r="25">
      <c r="B25" s="27" t="inlineStr">
        <is>
          <t>Лекала</t>
        </is>
      </c>
      <c r="C25" s="6" t="inlineStr">
        <is>
          <t>Мастер</t>
        </is>
      </c>
      <c r="D25" s="6" t="inlineStr">
        <is>
          <t>труд</t>
        </is>
      </c>
      <c r="E25" s="29" t="n">
        <v>7000</v>
      </c>
      <c r="F25" s="6" t="n">
        <v>0</v>
      </c>
      <c r="G25" s="6" t="inlineStr">
        <is>
          <t>день</t>
        </is>
      </c>
      <c r="H25" s="28">
        <f>IF(OR(E25="",F25=""),0,E25*F25)</f>
        <v/>
      </c>
      <c r="I25" s="28">
        <f>IF(D25="закупка",H25*Параметры!$C$6,0)</f>
        <v/>
      </c>
      <c r="J25" s="28">
        <f>H25+I25</f>
        <v/>
      </c>
      <c r="L25" s="6" t="inlineStr"/>
    </row>
    <row r="26">
      <c r="B26" s="27" t="inlineStr">
        <is>
          <t>Лекала</t>
        </is>
      </c>
      <c r="C26" s="6" t="inlineStr">
        <is>
          <t>Рабочий</t>
        </is>
      </c>
      <c r="D26" s="6" t="inlineStr">
        <is>
          <t>труд</t>
        </is>
      </c>
      <c r="E26" s="29" t="n">
        <v>5000</v>
      </c>
      <c r="F26" s="6" t="n">
        <v>0</v>
      </c>
      <c r="G26" s="6" t="inlineStr">
        <is>
          <t>день</t>
        </is>
      </c>
      <c r="H26" s="28">
        <f>IF(OR(E26="",F26=""),0,E26*F26)</f>
        <v/>
      </c>
      <c r="I26" s="28">
        <f>IF(D26="закупка",H26*Параметры!$C$6,0)</f>
        <v/>
      </c>
      <c r="J26" s="28">
        <f>H26+I26</f>
        <v/>
      </c>
      <c r="L26" s="6" t="inlineStr"/>
    </row>
    <row r="27">
      <c r="B27" s="27" t="inlineStr">
        <is>
          <t>Лекала</t>
        </is>
      </c>
      <c r="C27" s="6" t="inlineStr">
        <is>
          <t>Транспорт цех → объект</t>
        </is>
      </c>
      <c r="D27" s="6" t="inlineStr">
        <is>
          <t>транспорт</t>
        </is>
      </c>
      <c r="E27" s="29" t="n">
        <v>2000</v>
      </c>
      <c r="F27" s="6" t="n">
        <v>0</v>
      </c>
      <c r="G27" s="6" t="inlineStr">
        <is>
          <t>рейс</t>
        </is>
      </c>
      <c r="H27" s="28">
        <f>IF(OR(E27="",F27=""),0,E27*F27)</f>
        <v/>
      </c>
      <c r="I27" s="28">
        <f>IF(D27="закупка",H27*Параметры!$C$6,0)</f>
        <v/>
      </c>
      <c r="J27" s="28">
        <f>H27+I27</f>
        <v/>
      </c>
      <c r="L27" s="6" t="inlineStr"/>
    </row>
    <row r="28">
      <c r="B28" s="27" t="inlineStr">
        <is>
          <t>Лекала</t>
        </is>
      </c>
      <c r="C28" s="6" t="inlineStr">
        <is>
          <t>Транспорт объект → цех</t>
        </is>
      </c>
      <c r="D28" s="6" t="inlineStr">
        <is>
          <t>транспорт</t>
        </is>
      </c>
      <c r="E28" s="29" t="n">
        <v>2000</v>
      </c>
      <c r="F28" s="6" t="n">
        <v>0</v>
      </c>
      <c r="G28" s="6" t="inlineStr">
        <is>
          <t>рейс</t>
        </is>
      </c>
      <c r="H28" s="28">
        <f>IF(OR(E28="",F28=""),0,E28*F28)</f>
        <v/>
      </c>
      <c r="I28" s="28">
        <f>IF(D28="закупка",H28*Параметры!$C$6,0)</f>
        <v/>
      </c>
      <c r="J28" s="28">
        <f>H28+I28</f>
        <v/>
      </c>
      <c r="L28" s="6" t="inlineStr"/>
    </row>
    <row r="29">
      <c r="B29" s="27" t="inlineStr">
        <is>
          <t>Лекала</t>
        </is>
      </c>
      <c r="C29" s="6" t="inlineStr">
        <is>
          <t>Картоны</t>
        </is>
      </c>
      <c r="D29" s="6" t="inlineStr">
        <is>
          <t>закупка</t>
        </is>
      </c>
      <c r="E29" s="29" t="n">
        <v>300</v>
      </c>
      <c r="F29" s="6" t="n">
        <v>0</v>
      </c>
      <c r="G29" s="6" t="inlineStr">
        <is>
          <t>шт</t>
        </is>
      </c>
      <c r="H29" s="28">
        <f>IF(OR(E29="",F29=""),0,E29*F29)</f>
        <v/>
      </c>
      <c r="I29" s="28">
        <f>IF(D29="закупка",H29*Параметры!$C$6,0)</f>
        <v/>
      </c>
      <c r="J29" s="28">
        <f>H29+I29</f>
        <v/>
      </c>
      <c r="L29" s="6" t="inlineStr"/>
    </row>
    <row r="30">
      <c r="B30" s="27" t="inlineStr">
        <is>
          <t>Лекала</t>
        </is>
      </c>
      <c r="C30" s="6" t="inlineStr">
        <is>
          <t>Расходники</t>
        </is>
      </c>
      <c r="D30" s="6" t="inlineStr">
        <is>
          <t>закупка</t>
        </is>
      </c>
      <c r="E30" s="29" t="n">
        <v>250</v>
      </c>
      <c r="F30" s="6" t="n">
        <v>0</v>
      </c>
      <c r="G30" s="6" t="inlineStr">
        <is>
          <t>набор</t>
        </is>
      </c>
      <c r="H30" s="28">
        <f>IF(OR(E30="",F30=""),0,E30*F30)</f>
        <v/>
      </c>
      <c r="I30" s="28">
        <f>IF(D30="закупка",H30*Параметры!$C$6,0)</f>
        <v/>
      </c>
      <c r="J30" s="28">
        <f>H30+I30</f>
        <v/>
      </c>
      <c r="L30" s="6" t="inlineStr"/>
    </row>
    <row r="31">
      <c r="B31" s="27" t="inlineStr">
        <is>
          <t>Лекала</t>
        </is>
      </c>
      <c r="C31" s="6" t="inlineStr">
        <is>
          <t>Дерево</t>
        </is>
      </c>
      <c r="D31" s="6" t="inlineStr">
        <is>
          <t>закупка</t>
        </is>
      </c>
      <c r="E31" s="29" t="n">
        <v>1500</v>
      </c>
      <c r="F31" s="6" t="n">
        <v>0</v>
      </c>
      <c r="G31" s="6" t="inlineStr">
        <is>
          <t>набор</t>
        </is>
      </c>
      <c r="H31" s="28">
        <f>IF(OR(E31="",F31=""),0,E31*F31)</f>
        <v/>
      </c>
      <c r="I31" s="28">
        <f>IF(D31="закупка",H31*Параметры!$C$6,0)</f>
        <v/>
      </c>
      <c r="J31" s="28">
        <f>H31+I31</f>
        <v/>
      </c>
      <c r="L31" s="6" t="inlineStr"/>
    </row>
    <row r="32">
      <c r="B32" s="26" t="inlineStr">
        <is>
          <t>3. Закуп металла</t>
        </is>
      </c>
      <c r="C32" s="26" t="n"/>
      <c r="D32" s="26" t="n"/>
      <c r="E32" s="26" t="n"/>
      <c r="F32" s="26" t="n"/>
      <c r="G32" s="26" t="n"/>
      <c r="H32" s="26" t="n"/>
      <c r="I32" s="26" t="n"/>
      <c r="J32" s="26" t="n"/>
      <c r="L32" s="26" t="n"/>
    </row>
    <row r="33">
      <c r="B33" s="27" t="inlineStr">
        <is>
          <t>Металл</t>
        </is>
      </c>
      <c r="C33" s="6" t="inlineStr">
        <is>
          <t>Транспорт: микроавтобус (2ч)</t>
        </is>
      </c>
      <c r="D33" s="6" t="inlineStr">
        <is>
          <t>транспорт</t>
        </is>
      </c>
      <c r="E33" s="29" t="n">
        <v>2000</v>
      </c>
      <c r="F33" s="6" t="n">
        <v>0</v>
      </c>
      <c r="G33" s="6" t="inlineStr">
        <is>
          <t>рейс</t>
        </is>
      </c>
      <c r="H33" s="28">
        <f>IF(OR(E33="",F33=""),0,E33*F33)</f>
        <v/>
      </c>
      <c r="I33" s="28">
        <f>IF(D33="закупка",H33*Параметры!$C$6,0)</f>
        <v/>
      </c>
      <c r="J33" s="28">
        <f>H33+I33</f>
        <v/>
      </c>
      <c r="L33" s="6" t="inlineStr"/>
    </row>
    <row r="34">
      <c r="B34" s="27" t="inlineStr">
        <is>
          <t>Металл</t>
        </is>
      </c>
      <c r="C34" s="6" t="inlineStr">
        <is>
          <t>Транспорт: бортовая 4м (1ч)</t>
        </is>
      </c>
      <c r="D34" s="6" t="inlineStr">
        <is>
          <t>транспорт</t>
        </is>
      </c>
      <c r="E34" s="29" t="n">
        <v>1500</v>
      </c>
      <c r="F34" s="6" t="n">
        <v>0</v>
      </c>
      <c r="G34" s="6" t="inlineStr">
        <is>
          <t>рейс</t>
        </is>
      </c>
      <c r="H34" s="28">
        <f>IF(OR(E34="",F34=""),0,E34*F34)</f>
        <v/>
      </c>
      <c r="I34" s="28">
        <f>IF(D34="закупка",H34*Параметры!$C$6,0)</f>
        <v/>
      </c>
      <c r="J34" s="28">
        <f>H34+I34</f>
        <v/>
      </c>
      <c r="L34" s="6" t="inlineStr"/>
    </row>
    <row r="35">
      <c r="B35" s="27" t="inlineStr">
        <is>
          <t>Металл</t>
        </is>
      </c>
      <c r="C35" s="6" t="inlineStr">
        <is>
          <t>Транспорт: бортовая 6м (1ч)</t>
        </is>
      </c>
      <c r="D35" s="6" t="inlineStr">
        <is>
          <t>транспорт</t>
        </is>
      </c>
      <c r="E35" s="29" t="n">
        <v>3500</v>
      </c>
      <c r="F35" s="6" t="n">
        <v>0</v>
      </c>
      <c r="G35" s="6" t="inlineStr">
        <is>
          <t>рейс</t>
        </is>
      </c>
      <c r="H35" s="28">
        <f>IF(OR(E35="",F35=""),0,E35*F35)</f>
        <v/>
      </c>
      <c r="I35" s="28">
        <f>IF(D35="закупка",H35*Параметры!$C$6,0)</f>
        <v/>
      </c>
      <c r="J35" s="28">
        <f>H35+I35</f>
        <v/>
      </c>
      <c r="L35" s="6" t="inlineStr"/>
    </row>
    <row r="36">
      <c r="B36" s="27" t="inlineStr">
        <is>
          <t>Металл</t>
        </is>
      </c>
      <c r="C36" s="6" t="inlineStr">
        <is>
          <t>Металлопрокат (лист Металл)</t>
        </is>
      </c>
      <c r="D36" s="6" t="inlineStr">
        <is>
          <t>закупка</t>
        </is>
      </c>
      <c r="E36" s="28">
        <f>Металл!H37</f>
        <v/>
      </c>
      <c r="F36" s="30" t="n">
        <v>1</v>
      </c>
      <c r="G36" s="6" t="inlineStr">
        <is>
          <t>сводка</t>
        </is>
      </c>
      <c r="H36" s="28">
        <f>IF(OR(E36="",F36=""),0,E36*F36)</f>
        <v/>
      </c>
      <c r="I36" s="28">
        <f>IF(D36="закупка",H36*Параметры!$C$6,0)</f>
        <v/>
      </c>
      <c r="J36" s="28">
        <f>H36+I36</f>
        <v/>
      </c>
      <c r="L36" s="6" t="inlineStr">
        <is>
          <t>Себестоимость проката (каталог, цена за шт 6м)</t>
        </is>
      </c>
    </row>
    <row r="37">
      <c r="B37" s="27" t="inlineStr">
        <is>
          <t>Металл</t>
        </is>
      </c>
      <c r="C37" s="6" t="inlineStr">
        <is>
          <t>Лазер / плазма (лист Металл)</t>
        </is>
      </c>
      <c r="D37" s="6" t="inlineStr">
        <is>
          <t>закупка</t>
        </is>
      </c>
      <c r="E37" s="28">
        <f>Металл!H52</f>
        <v/>
      </c>
      <c r="F37" s="30" t="n">
        <v>1</v>
      </c>
      <c r="G37" s="6" t="inlineStr">
        <is>
          <t>сводка</t>
        </is>
      </c>
      <c r="H37" s="28">
        <f>IF(OR(E37="",F37=""),0,E37*F37)</f>
        <v/>
      </c>
      <c r="I37" s="28">
        <f>IF(D37="закупка",H37*Параметры!$C$6,0)</f>
        <v/>
      </c>
      <c r="J37" s="28">
        <f>H37+I37</f>
        <v/>
      </c>
      <c r="L37" s="6" t="inlineStr"/>
    </row>
    <row r="38">
      <c r="B38" s="27" t="inlineStr">
        <is>
          <t>Металл</t>
        </is>
      </c>
      <c r="C38" s="6" t="inlineStr">
        <is>
          <t>Ков. элементы / спец. прокат</t>
        </is>
      </c>
      <c r="D38" s="6" t="inlineStr">
        <is>
          <t>закупка</t>
        </is>
      </c>
      <c r="E38" s="28">
        <f>Металл!H67</f>
        <v/>
      </c>
      <c r="F38" s="30" t="n">
        <v>1</v>
      </c>
      <c r="G38" s="6" t="inlineStr">
        <is>
          <t>сводка</t>
        </is>
      </c>
      <c r="H38" s="28">
        <f>IF(OR(E38="",F38=""),0,E38*F38)</f>
        <v/>
      </c>
      <c r="I38" s="28">
        <f>IF(D38="закупка",H38*Параметры!$C$6,0)</f>
        <v/>
      </c>
      <c r="J38" s="28">
        <f>H38+I38</f>
        <v/>
      </c>
      <c r="L38" s="6" t="inlineStr"/>
    </row>
    <row r="39">
      <c r="B39" s="27" t="inlineStr">
        <is>
          <t>Металл</t>
        </is>
      </c>
      <c r="C39" s="6" t="inlineStr">
        <is>
          <t>Токарные работы (лист Металл)</t>
        </is>
      </c>
      <c r="D39" s="6" t="inlineStr">
        <is>
          <t>закупка</t>
        </is>
      </c>
      <c r="E39" s="28">
        <f>Металл!H82</f>
        <v/>
      </c>
      <c r="F39" s="30" t="n">
        <v>1</v>
      </c>
      <c r="G39" s="6" t="inlineStr">
        <is>
          <t>сводка</t>
        </is>
      </c>
      <c r="H39" s="28">
        <f>IF(OR(E39="",F39=""),0,E39*F39)</f>
        <v/>
      </c>
      <c r="I39" s="28">
        <f>IF(D39="закупка",H39*Параметры!$C$6,0)</f>
        <v/>
      </c>
      <c r="J39" s="28">
        <f>H39+I39</f>
        <v/>
      </c>
      <c r="L39" s="6" t="inlineStr"/>
    </row>
    <row r="40">
      <c r="B40" s="27" t="inlineStr">
        <is>
          <t>Металл</t>
        </is>
      </c>
      <c r="C40" s="6" t="inlineStr">
        <is>
          <t>Доп. комплектующие (лист Металл)</t>
        </is>
      </c>
      <c r="D40" s="6" t="inlineStr">
        <is>
          <t>закупка</t>
        </is>
      </c>
      <c r="E40" s="28">
        <f>Металл!H97</f>
        <v/>
      </c>
      <c r="F40" s="30" t="n">
        <v>1</v>
      </c>
      <c r="G40" s="6" t="inlineStr">
        <is>
          <t>сводка</t>
        </is>
      </c>
      <c r="H40" s="28">
        <f>IF(OR(E40="",F40=""),0,E40*F40)</f>
        <v/>
      </c>
      <c r="I40" s="28">
        <f>IF(D40="закупка",H40*Параметры!$C$6,0)</f>
        <v/>
      </c>
      <c r="J40" s="28">
        <f>H40+I40</f>
        <v/>
      </c>
      <c r="L40" s="6" t="inlineStr"/>
    </row>
    <row r="41">
      <c r="B41" s="26" t="inlineStr">
        <is>
          <t>4. Производство</t>
        </is>
      </c>
      <c r="C41" s="26" t="n"/>
      <c r="D41" s="26" t="n"/>
      <c r="E41" s="26" t="n"/>
      <c r="F41" s="26" t="n"/>
      <c r="G41" s="26" t="n"/>
      <c r="H41" s="26" t="n"/>
      <c r="I41" s="26" t="n"/>
      <c r="J41" s="26" t="n"/>
      <c r="L41" s="26" t="n"/>
    </row>
    <row r="42">
      <c r="B42" s="27" t="inlineStr">
        <is>
          <t>Производство</t>
        </is>
      </c>
      <c r="C42" s="6" t="inlineStr">
        <is>
          <t>Аренда цеха</t>
        </is>
      </c>
      <c r="D42" s="6" t="inlineStr">
        <is>
          <t>аренда</t>
        </is>
      </c>
      <c r="E42" s="28">
        <f>Параметры!$C$10</f>
        <v/>
      </c>
      <c r="F42" s="6" t="n">
        <v>0</v>
      </c>
      <c r="G42" s="6" t="inlineStr">
        <is>
          <t>день</t>
        </is>
      </c>
      <c r="H42" s="28">
        <f>IF(OR(E42="",F42=""),0,E42*F42)</f>
        <v/>
      </c>
      <c r="I42" s="28">
        <f>IF(D42="закупка",H42*Параметры!$C$6,0)</f>
        <v/>
      </c>
      <c r="J42" s="28">
        <f>H42+I42</f>
        <v/>
      </c>
      <c r="L42" s="6" t="inlineStr">
        <is>
          <t>Ставка аренды из Параметры</t>
        </is>
      </c>
    </row>
    <row r="43">
      <c r="B43" s="27" t="inlineStr">
        <is>
          <t>Производство</t>
        </is>
      </c>
      <c r="C43" s="6" t="inlineStr">
        <is>
          <t>Оплата труда: мастер</t>
        </is>
      </c>
      <c r="D43" s="6" t="inlineStr">
        <is>
          <t>труд</t>
        </is>
      </c>
      <c r="E43" s="29" t="n">
        <v>6000</v>
      </c>
      <c r="F43" s="6" t="n">
        <v>0</v>
      </c>
      <c r="G43" s="6" t="inlineStr">
        <is>
          <t>день</t>
        </is>
      </c>
      <c r="H43" s="28">
        <f>IF(OR(E43="",F43=""),0,E43*F43)</f>
        <v/>
      </c>
      <c r="I43" s="28">
        <f>IF(D43="закупка",H43*Параметры!$C$6,0)</f>
        <v/>
      </c>
      <c r="J43" s="28">
        <f>H43+I43</f>
        <v/>
      </c>
      <c r="L43" s="6" t="inlineStr">
        <is>
          <t>ФИО в примечании</t>
        </is>
      </c>
    </row>
    <row r="44">
      <c r="B44" s="27" t="inlineStr">
        <is>
          <t>Производство</t>
        </is>
      </c>
      <c r="C44" s="6" t="inlineStr">
        <is>
          <t>Оплата труда: рабочий</t>
        </is>
      </c>
      <c r="D44" s="6" t="inlineStr">
        <is>
          <t>труд</t>
        </is>
      </c>
      <c r="E44" s="29" t="n">
        <v>4000</v>
      </c>
      <c r="F44" s="6" t="n">
        <v>0</v>
      </c>
      <c r="G44" s="6" t="inlineStr">
        <is>
          <t>день</t>
        </is>
      </c>
      <c r="H44" s="28">
        <f>IF(OR(E44="",F44=""),0,E44*F44)</f>
        <v/>
      </c>
      <c r="I44" s="28">
        <f>IF(D44="закупка",H44*Параметры!$C$6,0)</f>
        <v/>
      </c>
      <c r="J44" s="28">
        <f>H44+I44</f>
        <v/>
      </c>
      <c r="L44" s="6" t="inlineStr"/>
    </row>
    <row r="45">
      <c r="B45" s="27" t="inlineStr">
        <is>
          <t>Производство</t>
        </is>
      </c>
      <c r="C45" s="6" t="inlineStr">
        <is>
          <t>Оплата труда: доп.1</t>
        </is>
      </c>
      <c r="D45" s="6" t="inlineStr">
        <is>
          <t>труд</t>
        </is>
      </c>
      <c r="E45" s="29" t="n">
        <v>6000</v>
      </c>
      <c r="F45" s="6" t="n">
        <v>0</v>
      </c>
      <c r="G45" s="6" t="inlineStr">
        <is>
          <t>день</t>
        </is>
      </c>
      <c r="H45" s="28">
        <f>IF(OR(E45="",F45=""),0,E45*F45)</f>
        <v/>
      </c>
      <c r="I45" s="28">
        <f>IF(D45="закупка",H45*Параметры!$C$6,0)</f>
        <v/>
      </c>
      <c r="J45" s="28">
        <f>H45+I45</f>
        <v/>
      </c>
      <c r="L45" s="6" t="inlineStr"/>
    </row>
    <row r="46">
      <c r="B46" s="27" t="inlineStr">
        <is>
          <t>Производство</t>
        </is>
      </c>
      <c r="C46" s="6" t="inlineStr">
        <is>
          <t>Оплата труда: доп.2</t>
        </is>
      </c>
      <c r="D46" s="6" t="inlineStr">
        <is>
          <t>труд</t>
        </is>
      </c>
      <c r="E46" s="29" t="n">
        <v>4000</v>
      </c>
      <c r="F46" s="6" t="n">
        <v>0</v>
      </c>
      <c r="G46" s="6" t="inlineStr">
        <is>
          <t>день</t>
        </is>
      </c>
      <c r="H46" s="28">
        <f>IF(OR(E46="",F46=""),0,E46*F46)</f>
        <v/>
      </c>
      <c r="I46" s="28">
        <f>IF(D46="закупка",H46*Параметры!$C$6,0)</f>
        <v/>
      </c>
      <c r="J46" s="28">
        <f>H46+I46</f>
        <v/>
      </c>
      <c r="L46" s="6" t="inlineStr"/>
    </row>
    <row r="47">
      <c r="B47" s="26" t="inlineStr">
        <is>
          <t>5. Предмонтаж</t>
        </is>
      </c>
      <c r="C47" s="26" t="n"/>
      <c r="D47" s="26" t="n"/>
      <c r="E47" s="26" t="n"/>
      <c r="F47" s="26" t="n"/>
      <c r="G47" s="26" t="n"/>
      <c r="H47" s="26" t="n"/>
      <c r="I47" s="26" t="n"/>
      <c r="J47" s="26" t="n"/>
      <c r="L47" s="26" t="n"/>
    </row>
    <row r="48">
      <c r="B48" s="27" t="inlineStr">
        <is>
          <t>Предмонтаж</t>
        </is>
      </c>
      <c r="C48" s="6" t="inlineStr">
        <is>
          <t>Аренда</t>
        </is>
      </c>
      <c r="D48" s="6" t="inlineStr">
        <is>
          <t>аренда</t>
        </is>
      </c>
      <c r="E48" s="28">
        <f>Параметры!$C$10</f>
        <v/>
      </c>
      <c r="F48" s="6" t="n">
        <v>0</v>
      </c>
      <c r="G48" s="6" t="inlineStr">
        <is>
          <t>день</t>
        </is>
      </c>
      <c r="H48" s="28">
        <f>IF(OR(E48="",F48=""),0,E48*F48)</f>
        <v/>
      </c>
      <c r="I48" s="28">
        <f>IF(D48="закупка",H48*Параметры!$C$6,0)</f>
        <v/>
      </c>
      <c r="J48" s="28">
        <f>H48+I48</f>
        <v/>
      </c>
      <c r="L48" s="6" t="inlineStr">
        <is>
          <t>Ставка аренды из Параметры</t>
        </is>
      </c>
    </row>
    <row r="49">
      <c r="B49" s="27" t="inlineStr">
        <is>
          <t>Предмонтаж</t>
        </is>
      </c>
      <c r="C49" s="6" t="inlineStr">
        <is>
          <t>Монтажники</t>
        </is>
      </c>
      <c r="D49" s="6" t="inlineStr">
        <is>
          <t>труд</t>
        </is>
      </c>
      <c r="E49" s="29" t="n">
        <v>7300</v>
      </c>
      <c r="F49" s="6" t="n">
        <v>0</v>
      </c>
      <c r="G49" s="6" t="inlineStr">
        <is>
          <t>день</t>
        </is>
      </c>
      <c r="H49" s="28">
        <f>IF(OR(E49="",F49=""),0,E49*F49)</f>
        <v/>
      </c>
      <c r="I49" s="28">
        <f>IF(D49="закупка",H49*Параметры!$C$6,0)</f>
        <v/>
      </c>
      <c r="J49" s="28">
        <f>H49+I49</f>
        <v/>
      </c>
      <c r="L49" s="6" t="inlineStr"/>
    </row>
    <row r="50">
      <c r="B50" s="27" t="inlineStr">
        <is>
          <t>Предмонтаж</t>
        </is>
      </c>
      <c r="C50" s="6" t="inlineStr">
        <is>
          <t>Помощник</t>
        </is>
      </c>
      <c r="D50" s="6" t="inlineStr">
        <is>
          <t>труд</t>
        </is>
      </c>
      <c r="E50" s="29" t="n">
        <v>5000</v>
      </c>
      <c r="F50" s="6" t="n">
        <v>0</v>
      </c>
      <c r="G50" s="6" t="inlineStr">
        <is>
          <t>день</t>
        </is>
      </c>
      <c r="H50" s="28">
        <f>IF(OR(E50="",F50=""),0,E50*F50)</f>
        <v/>
      </c>
      <c r="I50" s="28">
        <f>IF(D50="закупка",H50*Параметры!$C$6,0)</f>
        <v/>
      </c>
      <c r="J50" s="28">
        <f>H50+I50</f>
        <v/>
      </c>
      <c r="L50" s="6" t="inlineStr"/>
    </row>
    <row r="51">
      <c r="B51" s="27" t="inlineStr">
        <is>
          <t>Предмонтаж</t>
        </is>
      </c>
      <c r="C51" s="6" t="inlineStr">
        <is>
          <t>Транспорт цех → объект</t>
        </is>
      </c>
      <c r="D51" s="6" t="inlineStr">
        <is>
          <t>транспорт</t>
        </is>
      </c>
      <c r="E51" s="29" t="n">
        <v>2000</v>
      </c>
      <c r="F51" s="6" t="n">
        <v>0</v>
      </c>
      <c r="G51" s="6" t="inlineStr">
        <is>
          <t>рейс</t>
        </is>
      </c>
      <c r="H51" s="28">
        <f>IF(OR(E51="",F51=""),0,E51*F51)</f>
        <v/>
      </c>
      <c r="I51" s="28">
        <f>IF(D51="закупка",H51*Параметры!$C$6,0)</f>
        <v/>
      </c>
      <c r="J51" s="28">
        <f>H51+I51</f>
        <v/>
      </c>
      <c r="L51" s="6" t="inlineStr"/>
    </row>
    <row r="52">
      <c r="B52" s="27" t="inlineStr">
        <is>
          <t>Предмонтаж</t>
        </is>
      </c>
      <c r="C52" s="6" t="inlineStr">
        <is>
          <t>Транспорт объект → цех</t>
        </is>
      </c>
      <c r="D52" s="6" t="inlineStr">
        <is>
          <t>транспорт</t>
        </is>
      </c>
      <c r="E52" s="29" t="n">
        <v>2000</v>
      </c>
      <c r="F52" s="6" t="n">
        <v>0</v>
      </c>
      <c r="G52" s="6" t="inlineStr">
        <is>
          <t>рейс</t>
        </is>
      </c>
      <c r="H52" s="28">
        <f>IF(OR(E52="",F52=""),0,E52*F52)</f>
        <v/>
      </c>
      <c r="I52" s="28">
        <f>IF(D52="закупка",H52*Параметры!$C$6,0)</f>
        <v/>
      </c>
      <c r="J52" s="28">
        <f>H52+I52</f>
        <v/>
      </c>
      <c r="L52" s="6" t="inlineStr"/>
    </row>
    <row r="53">
      <c r="B53" s="27" t="inlineStr">
        <is>
          <t>Предмонтаж</t>
        </is>
      </c>
      <c r="C53" s="6" t="inlineStr">
        <is>
          <t>Такси</t>
        </is>
      </c>
      <c r="D53" s="6" t="inlineStr">
        <is>
          <t>транспорт</t>
        </is>
      </c>
      <c r="E53" s="29" t="n">
        <v>1500</v>
      </c>
      <c r="F53" s="6" t="n">
        <v>0</v>
      </c>
      <c r="G53" s="6" t="inlineStr">
        <is>
          <t>поездка</t>
        </is>
      </c>
      <c r="H53" s="28">
        <f>IF(OR(E53="",F53=""),0,E53*F53)</f>
        <v/>
      </c>
      <c r="I53" s="28">
        <f>IF(D53="закупка",H53*Параметры!$C$6,0)</f>
        <v/>
      </c>
      <c r="J53" s="28">
        <f>H53+I53</f>
        <v/>
      </c>
      <c r="L53" s="6" t="inlineStr"/>
    </row>
    <row r="54">
      <c r="B54" s="26" t="inlineStr">
        <is>
          <t>6. Покраска эмалью</t>
        </is>
      </c>
      <c r="C54" s="26" t="n"/>
      <c r="D54" s="26" t="n"/>
      <c r="E54" s="26" t="n"/>
      <c r="F54" s="26" t="n"/>
      <c r="G54" s="26" t="n"/>
      <c r="H54" s="26" t="n"/>
      <c r="I54" s="26" t="n"/>
      <c r="J54" s="26" t="n"/>
      <c r="L54" s="26" t="n"/>
    </row>
    <row r="55">
      <c r="B55" s="27" t="inlineStr">
        <is>
          <t>Покраска эмаль</t>
        </is>
      </c>
      <c r="C55" s="6" t="inlineStr">
        <is>
          <t>Аренда</t>
        </is>
      </c>
      <c r="D55" s="6" t="inlineStr">
        <is>
          <t>аренда</t>
        </is>
      </c>
      <c r="E55" s="28">
        <f>Параметры!$C$10</f>
        <v/>
      </c>
      <c r="F55" s="6" t="n">
        <v>0</v>
      </c>
      <c r="G55" s="6" t="inlineStr">
        <is>
          <t>день</t>
        </is>
      </c>
      <c r="H55" s="28">
        <f>IF(OR(E55="",F55=""),0,E55*F55)</f>
        <v/>
      </c>
      <c r="I55" s="28">
        <f>IF(D55="закупка",H55*Параметры!$C$6,0)</f>
        <v/>
      </c>
      <c r="J55" s="28">
        <f>H55+I55</f>
        <v/>
      </c>
      <c r="L55" s="6" t="inlineStr">
        <is>
          <t>Ставка аренды из Параметры</t>
        </is>
      </c>
    </row>
    <row r="56">
      <c r="B56" s="27" t="inlineStr">
        <is>
          <t>Покраска эмаль</t>
        </is>
      </c>
      <c r="C56" s="6" t="inlineStr">
        <is>
          <t>Маляр</t>
        </is>
      </c>
      <c r="D56" s="6" t="inlineStr">
        <is>
          <t>труд</t>
        </is>
      </c>
      <c r="E56" s="29" t="n">
        <v>3000</v>
      </c>
      <c r="F56" s="6" t="n">
        <v>0</v>
      </c>
      <c r="G56" s="6" t="inlineStr">
        <is>
          <t>день</t>
        </is>
      </c>
      <c r="H56" s="28">
        <f>IF(OR(E56="",F56=""),0,E56*F56)</f>
        <v/>
      </c>
      <c r="I56" s="28">
        <f>IF(D56="закупка",H56*Параметры!$C$6,0)</f>
        <v/>
      </c>
      <c r="J56" s="28">
        <f>H56+I56</f>
        <v/>
      </c>
      <c r="L56" s="6" t="inlineStr"/>
    </row>
    <row r="57">
      <c r="B57" s="27" t="inlineStr">
        <is>
          <t>Покраска эмаль</t>
        </is>
      </c>
      <c r="C57" s="6" t="inlineStr">
        <is>
          <t>Рабочий</t>
        </is>
      </c>
      <c r="D57" s="6" t="inlineStr">
        <is>
          <t>труд</t>
        </is>
      </c>
      <c r="E57" s="29" t="n">
        <v>5000</v>
      </c>
      <c r="F57" s="6" t="n">
        <v>0</v>
      </c>
      <c r="G57" s="6" t="inlineStr">
        <is>
          <t>день</t>
        </is>
      </c>
      <c r="H57" s="28">
        <f>IF(OR(E57="",F57=""),0,E57*F57)</f>
        <v/>
      </c>
      <c r="I57" s="28">
        <f>IF(D57="закупка",H57*Параметры!$C$6,0)</f>
        <v/>
      </c>
      <c r="J57" s="28">
        <f>H57+I57</f>
        <v/>
      </c>
      <c r="L57" s="6" t="inlineStr"/>
    </row>
    <row r="58">
      <c r="B58" s="27" t="inlineStr">
        <is>
          <t>Покраска эмаль</t>
        </is>
      </c>
      <c r="C58" s="6" t="inlineStr">
        <is>
          <t>Респиратор</t>
        </is>
      </c>
      <c r="D58" s="6" t="inlineStr">
        <is>
          <t>закупка</t>
        </is>
      </c>
      <c r="E58" s="29" t="n">
        <v>500</v>
      </c>
      <c r="F58" s="6" t="n">
        <v>0</v>
      </c>
      <c r="G58" s="6" t="inlineStr">
        <is>
          <t>шт</t>
        </is>
      </c>
      <c r="H58" s="28">
        <f>IF(OR(E58="",F58=""),0,E58*F58)</f>
        <v/>
      </c>
      <c r="I58" s="28">
        <f>IF(D58="закупка",H58*Параметры!$C$6,0)</f>
        <v/>
      </c>
      <c r="J58" s="28">
        <f>H58+I58</f>
        <v/>
      </c>
      <c r="L58" s="6" t="inlineStr"/>
    </row>
    <row r="59">
      <c r="B59" s="27" t="inlineStr">
        <is>
          <t>Покраска эмаль</t>
        </is>
      </c>
      <c r="C59" s="6" t="inlineStr">
        <is>
          <t>Грунт</t>
        </is>
      </c>
      <c r="D59" s="6" t="inlineStr">
        <is>
          <t>закупка</t>
        </is>
      </c>
      <c r="E59" s="29" t="n">
        <v>600</v>
      </c>
      <c r="F59" s="6" t="n">
        <v>0</v>
      </c>
      <c r="G59" s="6" t="inlineStr">
        <is>
          <t>шт</t>
        </is>
      </c>
      <c r="H59" s="28">
        <f>IF(OR(E59="",F59=""),0,E59*F59)</f>
        <v/>
      </c>
      <c r="I59" s="28">
        <f>IF(D59="закупка",H59*Параметры!$C$6,0)</f>
        <v/>
      </c>
      <c r="J59" s="28">
        <f>H59+I59</f>
        <v/>
      </c>
      <c r="L59" s="6" t="inlineStr"/>
    </row>
    <row r="60">
      <c r="B60" s="27" t="inlineStr">
        <is>
          <t>Покраска эмаль</t>
        </is>
      </c>
      <c r="C60" s="6" t="inlineStr">
        <is>
          <t>Лак</t>
        </is>
      </c>
      <c r="D60" s="6" t="inlineStr">
        <is>
          <t>закупка</t>
        </is>
      </c>
      <c r="E60" s="29" t="n">
        <v>1000</v>
      </c>
      <c r="F60" s="6" t="n">
        <v>0</v>
      </c>
      <c r="G60" s="6" t="inlineStr">
        <is>
          <t>шт</t>
        </is>
      </c>
      <c r="H60" s="28">
        <f>IF(OR(E60="",F60=""),0,E60*F60)</f>
        <v/>
      </c>
      <c r="I60" s="28">
        <f>IF(D60="закупка",H60*Параметры!$C$6,0)</f>
        <v/>
      </c>
      <c r="J60" s="28">
        <f>H60+I60</f>
        <v/>
      </c>
      <c r="L60" s="6" t="inlineStr"/>
    </row>
    <row r="61">
      <c r="B61" s="27" t="inlineStr">
        <is>
          <t>Покраска эмаль</t>
        </is>
      </c>
      <c r="C61" s="6" t="inlineStr">
        <is>
          <t>Эмаль 0,8л</t>
        </is>
      </c>
      <c r="D61" s="6" t="inlineStr">
        <is>
          <t>закупка</t>
        </is>
      </c>
      <c r="E61" s="29" t="n">
        <v>1200</v>
      </c>
      <c r="F61" s="6" t="n">
        <v>0</v>
      </c>
      <c r="G61" s="6" t="inlineStr">
        <is>
          <t>шт</t>
        </is>
      </c>
      <c r="H61" s="28">
        <f>IF(OR(E61="",F61=""),0,E61*F61)</f>
        <v/>
      </c>
      <c r="I61" s="28">
        <f>IF(D61="закупка",H61*Параметры!$C$6,0)</f>
        <v/>
      </c>
      <c r="J61" s="28">
        <f>H61+I61</f>
        <v/>
      </c>
      <c r="L61" s="6" t="inlineStr"/>
    </row>
    <row r="62">
      <c r="B62" s="27" t="inlineStr">
        <is>
          <t>Покраска эмаль</t>
        </is>
      </c>
      <c r="C62" s="6" t="inlineStr">
        <is>
          <t>Эмаль 2,0л</t>
        </is>
      </c>
      <c r="D62" s="6" t="inlineStr">
        <is>
          <t>закупка</t>
        </is>
      </c>
      <c r="E62" s="29" t="n">
        <v>3500</v>
      </c>
      <c r="F62" s="6" t="n">
        <v>0</v>
      </c>
      <c r="G62" s="6" t="inlineStr">
        <is>
          <t>шт</t>
        </is>
      </c>
      <c r="H62" s="28">
        <f>IF(OR(E62="",F62=""),0,E62*F62)</f>
        <v/>
      </c>
      <c r="I62" s="28">
        <f>IF(D62="закупка",H62*Параметры!$C$6,0)</f>
        <v/>
      </c>
      <c r="J62" s="28">
        <f>H62+I62</f>
        <v/>
      </c>
      <c r="L62" s="6" t="inlineStr"/>
    </row>
    <row r="63">
      <c r="B63" s="27" t="inlineStr">
        <is>
          <t>Покраска эмаль</t>
        </is>
      </c>
      <c r="C63" s="6" t="inlineStr">
        <is>
          <t>Мет.щётки, кисти</t>
        </is>
      </c>
      <c r="D63" s="6" t="inlineStr">
        <is>
          <t>закупка</t>
        </is>
      </c>
      <c r="E63" s="29" t="n">
        <v>300</v>
      </c>
      <c r="F63" s="6" t="n">
        <v>0</v>
      </c>
      <c r="G63" s="6" t="inlineStr">
        <is>
          <t>набор</t>
        </is>
      </c>
      <c r="H63" s="28">
        <f>IF(OR(E63="",F63=""),0,E63*F63)</f>
        <v/>
      </c>
      <c r="I63" s="28">
        <f>IF(D63="закупка",H63*Параметры!$C$6,0)</f>
        <v/>
      </c>
      <c r="J63" s="28">
        <f>H63+I63</f>
        <v/>
      </c>
      <c r="L63" s="6" t="inlineStr"/>
    </row>
    <row r="64">
      <c r="B64" s="27" t="inlineStr">
        <is>
          <t>Покраска эмаль</t>
        </is>
      </c>
      <c r="C64" s="6" t="inlineStr">
        <is>
          <t>Растворитель</t>
        </is>
      </c>
      <c r="D64" s="6" t="inlineStr">
        <is>
          <t>закупка</t>
        </is>
      </c>
      <c r="E64" s="29" t="n">
        <v>370</v>
      </c>
      <c r="F64" s="6" t="n">
        <v>0</v>
      </c>
      <c r="G64" s="6" t="inlineStr">
        <is>
          <t>шт</t>
        </is>
      </c>
      <c r="H64" s="28">
        <f>IF(OR(E64="",F64=""),0,E64*F64)</f>
        <v/>
      </c>
      <c r="I64" s="28">
        <f>IF(D64="закупка",H64*Параметры!$C$6,0)</f>
        <v/>
      </c>
      <c r="J64" s="28">
        <f>H64+I64</f>
        <v/>
      </c>
      <c r="L64" s="6" t="inlineStr"/>
    </row>
    <row r="65">
      <c r="B65" s="27" t="inlineStr">
        <is>
          <t>Покраска эмаль</t>
        </is>
      </c>
      <c r="C65" s="6" t="inlineStr">
        <is>
          <t>Холодный цинк</t>
        </is>
      </c>
      <c r="D65" s="6" t="inlineStr">
        <is>
          <t>закупка</t>
        </is>
      </c>
      <c r="E65" s="29" t="n">
        <v>2500</v>
      </c>
      <c r="F65" s="6" t="n">
        <v>0</v>
      </c>
      <c r="G65" s="6" t="inlineStr">
        <is>
          <t>шт</t>
        </is>
      </c>
      <c r="H65" s="28">
        <f>IF(OR(E65="",F65=""),0,E65*F65)</f>
        <v/>
      </c>
      <c r="I65" s="28">
        <f>IF(D65="закупка",H65*Параметры!$C$6,0)</f>
        <v/>
      </c>
      <c r="J65" s="28">
        <f>H65+I65</f>
        <v/>
      </c>
      <c r="L65" s="6" t="inlineStr"/>
    </row>
    <row r="66">
      <c r="B66" s="27" t="inlineStr">
        <is>
          <t>Покраска эмаль</t>
        </is>
      </c>
      <c r="C66" s="6" t="inlineStr">
        <is>
          <t>Транспорт микроавтобус</t>
        </is>
      </c>
      <c r="D66" s="6" t="inlineStr">
        <is>
          <t>транспорт</t>
        </is>
      </c>
      <c r="E66" s="29" t="n">
        <v>2000</v>
      </c>
      <c r="F66" s="6" t="n">
        <v>0</v>
      </c>
      <c r="G66" s="6" t="inlineStr">
        <is>
          <t>рейс</t>
        </is>
      </c>
      <c r="H66" s="28">
        <f>IF(OR(E66="",F66=""),0,E66*F66)</f>
        <v/>
      </c>
      <c r="I66" s="28">
        <f>IF(D66="закупка",H66*Параметры!$C$6,0)</f>
        <v/>
      </c>
      <c r="J66" s="28">
        <f>H66+I66</f>
        <v/>
      </c>
      <c r="L66" s="6" t="inlineStr"/>
    </row>
    <row r="67">
      <c r="B67" s="27" t="inlineStr">
        <is>
          <t>Покраска эмаль</t>
        </is>
      </c>
      <c r="C67" s="6" t="inlineStr">
        <is>
          <t>Транспорт бортовая 4м</t>
        </is>
      </c>
      <c r="D67" s="6" t="inlineStr">
        <is>
          <t>транспорт</t>
        </is>
      </c>
      <c r="E67" s="29" t="n">
        <v>1500</v>
      </c>
      <c r="F67" s="6" t="n">
        <v>0</v>
      </c>
      <c r="G67" s="6" t="inlineStr">
        <is>
          <t>рейс</t>
        </is>
      </c>
      <c r="H67" s="28">
        <f>IF(OR(E67="",F67=""),0,E67*F67)</f>
        <v/>
      </c>
      <c r="I67" s="28">
        <f>IF(D67="закупка",H67*Параметры!$C$6,0)</f>
        <v/>
      </c>
      <c r="J67" s="28">
        <f>H67+I67</f>
        <v/>
      </c>
      <c r="L67" s="6" t="inlineStr"/>
    </row>
    <row r="68">
      <c r="B68" s="27" t="inlineStr">
        <is>
          <t>Покраска эмаль</t>
        </is>
      </c>
      <c r="C68" s="6" t="inlineStr">
        <is>
          <t>Транспорт бортовая 6м</t>
        </is>
      </c>
      <c r="D68" s="6" t="inlineStr">
        <is>
          <t>транспорт</t>
        </is>
      </c>
      <c r="E68" s="29" t="n">
        <v>3500</v>
      </c>
      <c r="F68" s="6" t="n">
        <v>0</v>
      </c>
      <c r="G68" s="6" t="inlineStr">
        <is>
          <t>рейс</t>
        </is>
      </c>
      <c r="H68" s="28">
        <f>IF(OR(E68="",F68=""),0,E68*F68)</f>
        <v/>
      </c>
      <c r="I68" s="28">
        <f>IF(D68="закупка",H68*Параметры!$C$6,0)</f>
        <v/>
      </c>
      <c r="J68" s="28">
        <f>H68+I68</f>
        <v/>
      </c>
      <c r="L68" s="6" t="inlineStr"/>
    </row>
    <row r="69">
      <c r="B69" s="26" t="inlineStr">
        <is>
          <t>7. Пескоструй</t>
        </is>
      </c>
      <c r="C69" s="26" t="n"/>
      <c r="D69" s="26" t="n"/>
      <c r="E69" s="26" t="n"/>
      <c r="F69" s="26" t="n"/>
      <c r="G69" s="26" t="n"/>
      <c r="H69" s="26" t="n"/>
      <c r="I69" s="26" t="n"/>
      <c r="J69" s="26" t="n"/>
      <c r="L69" s="26" t="n"/>
    </row>
    <row r="70">
      <c r="B70" s="27" t="inlineStr">
        <is>
          <t>Пескоструй</t>
        </is>
      </c>
      <c r="C70" s="6" t="inlineStr">
        <is>
          <t>Услуга пескоструй</t>
        </is>
      </c>
      <c r="D70" s="6" t="inlineStr">
        <is>
          <t>услуга</t>
        </is>
      </c>
      <c r="E70" s="29" t="n">
        <v>900</v>
      </c>
      <c r="F70" s="6" t="n">
        <v>0</v>
      </c>
      <c r="G70" s="6" t="inlineStr">
        <is>
          <t>м</t>
        </is>
      </c>
      <c r="H70" s="28">
        <f>IF(OR(E70="",F70=""),0,E70*F70)</f>
        <v/>
      </c>
      <c r="I70" s="28">
        <f>IF(D70="закупка",H70*Параметры!$C$6,0)</f>
        <v/>
      </c>
      <c r="J70" s="28">
        <f>H70+I70</f>
        <v/>
      </c>
      <c r="L70" s="6" t="inlineStr"/>
    </row>
    <row r="71">
      <c r="B71" s="27" t="inlineStr">
        <is>
          <t>Пескоструй</t>
        </is>
      </c>
      <c r="C71" s="6" t="inlineStr">
        <is>
          <t>Транспорт на пескоструй</t>
        </is>
      </c>
      <c r="D71" s="6" t="inlineStr">
        <is>
          <t>транспорт</t>
        </is>
      </c>
      <c r="E71" s="29" t="n">
        <v>2000</v>
      </c>
      <c r="F71" s="6" t="n">
        <v>0</v>
      </c>
      <c r="G71" s="6" t="inlineStr">
        <is>
          <t>рейс</t>
        </is>
      </c>
      <c r="H71" s="28">
        <f>IF(OR(E71="",F71=""),0,E71*F71)</f>
        <v/>
      </c>
      <c r="I71" s="28">
        <f>IF(D71="закупка",H71*Параметры!$C$6,0)</f>
        <v/>
      </c>
      <c r="J71" s="28">
        <f>H71+I71</f>
        <v/>
      </c>
      <c r="L71" s="6" t="inlineStr"/>
    </row>
    <row r="72">
      <c r="B72" s="27" t="inlineStr">
        <is>
          <t>Пескоструй</t>
        </is>
      </c>
      <c r="C72" s="6" t="inlineStr">
        <is>
          <t>Транспорт с пескоструя</t>
        </is>
      </c>
      <c r="D72" s="6" t="inlineStr">
        <is>
          <t>транспорт</t>
        </is>
      </c>
      <c r="E72" s="29" t="n">
        <v>2000</v>
      </c>
      <c r="F72" s="6" t="n">
        <v>0</v>
      </c>
      <c r="G72" s="6" t="inlineStr">
        <is>
          <t>рейс</t>
        </is>
      </c>
      <c r="H72" s="28">
        <f>IF(OR(E72="",F72=""),0,E72*F72)</f>
        <v/>
      </c>
      <c r="I72" s="28">
        <f>IF(D72="закупка",H72*Параметры!$C$6,0)</f>
        <v/>
      </c>
      <c r="J72" s="28">
        <f>H72+I72</f>
        <v/>
      </c>
      <c r="L72" s="6" t="inlineStr"/>
    </row>
    <row r="73">
      <c r="B73" s="26" t="inlineStr">
        <is>
          <t>8. Порошковая покраска</t>
        </is>
      </c>
      <c r="C73" s="26" t="n"/>
      <c r="D73" s="26" t="n"/>
      <c r="E73" s="26" t="n"/>
      <c r="F73" s="26" t="n"/>
      <c r="G73" s="26" t="n"/>
      <c r="H73" s="26" t="n"/>
      <c r="I73" s="26" t="n"/>
      <c r="J73" s="26" t="n"/>
      <c r="L73" s="26" t="n"/>
    </row>
    <row r="74">
      <c r="B74" s="27" t="inlineStr">
        <is>
          <t>Порошок</t>
        </is>
      </c>
      <c r="C74" s="6" t="inlineStr">
        <is>
          <t>Покраска обычная</t>
        </is>
      </c>
      <c r="D74" s="6" t="inlineStr">
        <is>
          <t>услуга</t>
        </is>
      </c>
      <c r="E74" s="29" t="n">
        <v>2000</v>
      </c>
      <c r="F74" s="6" t="n">
        <v>0</v>
      </c>
      <c r="G74" s="6" t="inlineStr">
        <is>
          <t>услуга</t>
        </is>
      </c>
      <c r="H74" s="28">
        <f>IF(OR(E74="",F74=""),0,E74*F74)</f>
        <v/>
      </c>
      <c r="I74" s="28">
        <f>IF(D74="закупка",H74*Параметры!$C$6,0)</f>
        <v/>
      </c>
      <c r="J74" s="28">
        <f>H74+I74</f>
        <v/>
      </c>
      <c r="L74" s="6" t="inlineStr"/>
    </row>
    <row r="75">
      <c r="B75" s="27" t="inlineStr">
        <is>
          <t>Порошок</t>
        </is>
      </c>
      <c r="C75" s="6" t="inlineStr">
        <is>
          <t>Покраска с цинком</t>
        </is>
      </c>
      <c r="D75" s="6" t="inlineStr">
        <is>
          <t>услуга</t>
        </is>
      </c>
      <c r="E75" s="29" t="n">
        <v>2400</v>
      </c>
      <c r="F75" s="6" t="n">
        <v>0</v>
      </c>
      <c r="G75" s="6" t="inlineStr">
        <is>
          <t>услуга</t>
        </is>
      </c>
      <c r="H75" s="28">
        <f>IF(OR(E75="",F75=""),0,E75*F75)</f>
        <v/>
      </c>
      <c r="I75" s="28">
        <f>IF(D75="закупка",H75*Параметры!$C$6,0)</f>
        <v/>
      </c>
      <c r="J75" s="28">
        <f>H75+I75</f>
        <v/>
      </c>
      <c r="L75" s="6" t="inlineStr"/>
    </row>
    <row r="76">
      <c r="B76" s="27" t="inlineStr">
        <is>
          <t>Порошок</t>
        </is>
      </c>
      <c r="C76" s="6" t="inlineStr">
        <is>
          <t>Покраска шагрень</t>
        </is>
      </c>
      <c r="D76" s="6" t="inlineStr">
        <is>
          <t>услуга</t>
        </is>
      </c>
      <c r="E76" s="29" t="n">
        <v>2300</v>
      </c>
      <c r="F76" s="6" t="n">
        <v>0</v>
      </c>
      <c r="G76" s="6" t="inlineStr">
        <is>
          <t>услуга</t>
        </is>
      </c>
      <c r="H76" s="28">
        <f>IF(OR(E76="",F76=""),0,E76*F76)</f>
        <v/>
      </c>
      <c r="I76" s="28">
        <f>IF(D76="закупка",H76*Параметры!$C$6,0)</f>
        <v/>
      </c>
      <c r="J76" s="28">
        <f>H76+I76</f>
        <v/>
      </c>
      <c r="L76" s="6" t="inlineStr"/>
    </row>
    <row r="77">
      <c r="B77" s="27" t="inlineStr">
        <is>
          <t>Порошок</t>
        </is>
      </c>
      <c r="C77" s="6" t="inlineStr">
        <is>
          <t>Покраска антик (молотковая)</t>
        </is>
      </c>
      <c r="D77" s="6" t="inlineStr">
        <is>
          <t>услуга</t>
        </is>
      </c>
      <c r="E77" s="29" t="n">
        <v>2200</v>
      </c>
      <c r="F77" s="6" t="n">
        <v>0</v>
      </c>
      <c r="G77" s="6" t="inlineStr">
        <is>
          <t>услуга</t>
        </is>
      </c>
      <c r="H77" s="28">
        <f>IF(OR(E77="",F77=""),0,E77*F77)</f>
        <v/>
      </c>
      <c r="I77" s="28">
        <f>IF(D77="закупка",H77*Параметры!$C$6,0)</f>
        <v/>
      </c>
      <c r="J77" s="28">
        <f>H77+I77</f>
        <v/>
      </c>
      <c r="L77" s="6" t="inlineStr"/>
    </row>
    <row r="78">
      <c r="B78" s="27" t="inlineStr">
        <is>
          <t>Порошок</t>
        </is>
      </c>
      <c r="C78" s="6" t="inlineStr">
        <is>
          <t>Транспорт на покраску</t>
        </is>
      </c>
      <c r="D78" s="6" t="inlineStr">
        <is>
          <t>транспорт</t>
        </is>
      </c>
      <c r="E78" s="29" t="n">
        <v>2000</v>
      </c>
      <c r="F78" s="6" t="n">
        <v>0</v>
      </c>
      <c r="G78" s="6" t="inlineStr">
        <is>
          <t>рейс</t>
        </is>
      </c>
      <c r="H78" s="28">
        <f>IF(OR(E78="",F78=""),0,E78*F78)</f>
        <v/>
      </c>
      <c r="I78" s="28">
        <f>IF(D78="закупка",H78*Параметры!$C$6,0)</f>
        <v/>
      </c>
      <c r="J78" s="28">
        <f>H78+I78</f>
        <v/>
      </c>
      <c r="L78" s="6" t="inlineStr"/>
    </row>
    <row r="79">
      <c r="B79" s="27" t="inlineStr">
        <is>
          <t>Порошок</t>
        </is>
      </c>
      <c r="C79" s="6" t="inlineStr">
        <is>
          <t>Транспорт с покраски</t>
        </is>
      </c>
      <c r="D79" s="6" t="inlineStr">
        <is>
          <t>транспорт</t>
        </is>
      </c>
      <c r="E79" s="29" t="n">
        <v>2000</v>
      </c>
      <c r="F79" s="6" t="n">
        <v>0</v>
      </c>
      <c r="G79" s="6" t="inlineStr">
        <is>
          <t>рейс</t>
        </is>
      </c>
      <c r="H79" s="28">
        <f>IF(OR(E79="",F79=""),0,E79*F79)</f>
        <v/>
      </c>
      <c r="I79" s="28">
        <f>IF(D79="закупка",H79*Параметры!$C$6,0)</f>
        <v/>
      </c>
      <c r="J79" s="28">
        <f>H79+I79</f>
        <v/>
      </c>
      <c r="L79" s="6" t="inlineStr"/>
    </row>
    <row r="80">
      <c r="B80" s="27" t="inlineStr">
        <is>
          <t>Порошок</t>
        </is>
      </c>
      <c r="C80" s="6" t="inlineStr">
        <is>
          <t>Транспорт людей</t>
        </is>
      </c>
      <c r="D80" s="6" t="inlineStr">
        <is>
          <t>транспорт</t>
        </is>
      </c>
      <c r="E80" s="29" t="n">
        <v>500</v>
      </c>
      <c r="F80" s="6" t="n">
        <v>0</v>
      </c>
      <c r="G80" s="6" t="inlineStr">
        <is>
          <t>поездка</t>
        </is>
      </c>
      <c r="H80" s="28">
        <f>IF(OR(E80="",F80=""),0,E80*F80)</f>
        <v/>
      </c>
      <c r="I80" s="28">
        <f>IF(D80="закупка",H80*Параметры!$C$6,0)</f>
        <v/>
      </c>
      <c r="J80" s="28">
        <f>H80+I80</f>
        <v/>
      </c>
      <c r="L80" s="6" t="inlineStr"/>
    </row>
    <row r="81">
      <c r="B81" s="26" t="inlineStr">
        <is>
          <t>9. Монтаж</t>
        </is>
      </c>
      <c r="C81" s="26" t="n"/>
      <c r="D81" s="26" t="n"/>
      <c r="E81" s="26" t="n"/>
      <c r="F81" s="26" t="n"/>
      <c r="G81" s="26" t="n"/>
      <c r="H81" s="26" t="n"/>
      <c r="I81" s="26" t="n"/>
      <c r="J81" s="26" t="n"/>
      <c r="L81" s="26" t="n"/>
    </row>
    <row r="82">
      <c r="B82" s="27" t="inlineStr">
        <is>
          <t>Монтаж</t>
        </is>
      </c>
      <c r="C82" s="6" t="inlineStr">
        <is>
          <t>Аренда</t>
        </is>
      </c>
      <c r="D82" s="6" t="inlineStr">
        <is>
          <t>аренда</t>
        </is>
      </c>
      <c r="E82" s="28">
        <f>Параметры!$C$10</f>
        <v/>
      </c>
      <c r="F82" s="6" t="n">
        <v>0</v>
      </c>
      <c r="G82" s="6" t="inlineStr">
        <is>
          <t>день</t>
        </is>
      </c>
      <c r="H82" s="28">
        <f>IF(OR(E82="",F82=""),0,E82*F82)</f>
        <v/>
      </c>
      <c r="I82" s="28">
        <f>IF(D82="закупка",H82*Параметры!$C$6,0)</f>
        <v/>
      </c>
      <c r="J82" s="28">
        <f>H82+I82</f>
        <v/>
      </c>
      <c r="L82" s="6" t="inlineStr">
        <is>
          <t>Ставка аренды из Параметры</t>
        </is>
      </c>
    </row>
    <row r="83">
      <c r="B83" s="27" t="inlineStr">
        <is>
          <t>Монтаж</t>
        </is>
      </c>
      <c r="C83" s="6" t="inlineStr">
        <is>
          <t>Монтажники</t>
        </is>
      </c>
      <c r="D83" s="6" t="inlineStr">
        <is>
          <t>труд</t>
        </is>
      </c>
      <c r="E83" s="29" t="n">
        <v>5000</v>
      </c>
      <c r="F83" s="6" t="n">
        <v>0</v>
      </c>
      <c r="G83" s="6" t="inlineStr">
        <is>
          <t>день</t>
        </is>
      </c>
      <c r="H83" s="28">
        <f>IF(OR(E83="",F83=""),0,E83*F83)</f>
        <v/>
      </c>
      <c r="I83" s="28">
        <f>IF(D83="закупка",H83*Параметры!$C$6,0)</f>
        <v/>
      </c>
      <c r="J83" s="28">
        <f>H83+I83</f>
        <v/>
      </c>
      <c r="L83" s="6" t="inlineStr"/>
    </row>
    <row r="84">
      <c r="B84" s="27" t="inlineStr">
        <is>
          <t>Монтаж</t>
        </is>
      </c>
      <c r="C84" s="6" t="inlineStr">
        <is>
          <t>Помощник</t>
        </is>
      </c>
      <c r="D84" s="6" t="inlineStr">
        <is>
          <t>труд</t>
        </is>
      </c>
      <c r="E84" s="29" t="n">
        <v>4000</v>
      </c>
      <c r="F84" s="6" t="n">
        <v>0</v>
      </c>
      <c r="G84" s="6" t="inlineStr">
        <is>
          <t>день</t>
        </is>
      </c>
      <c r="H84" s="28">
        <f>IF(OR(E84="",F84=""),0,E84*F84)</f>
        <v/>
      </c>
      <c r="I84" s="28">
        <f>IF(D84="закупка",H84*Параметры!$C$6,0)</f>
        <v/>
      </c>
      <c r="J84" s="28">
        <f>H84+I84</f>
        <v/>
      </c>
      <c r="L84" s="6" t="inlineStr"/>
    </row>
    <row r="85">
      <c r="B85" s="27" t="inlineStr">
        <is>
          <t>Монтаж</t>
        </is>
      </c>
      <c r="C85" s="6" t="inlineStr">
        <is>
          <t>Крепежи, хим.анкер</t>
        </is>
      </c>
      <c r="D85" s="6" t="inlineStr">
        <is>
          <t>закупка</t>
        </is>
      </c>
      <c r="E85" s="29" t="n">
        <v>2000</v>
      </c>
      <c r="F85" s="6" t="n">
        <v>0</v>
      </c>
      <c r="G85" s="6" t="inlineStr">
        <is>
          <t>набор</t>
        </is>
      </c>
      <c r="H85" s="28">
        <f>IF(OR(E85="",F85=""),0,E85*F85)</f>
        <v/>
      </c>
      <c r="I85" s="28">
        <f>IF(D85="закупка",H85*Параметры!$C$6,0)</f>
        <v/>
      </c>
      <c r="J85" s="28">
        <f>H85+I85</f>
        <v/>
      </c>
      <c r="L85" s="6" t="inlineStr"/>
    </row>
    <row r="86">
      <c r="B86" s="27" t="inlineStr">
        <is>
          <t>Монтаж</t>
        </is>
      </c>
      <c r="C86" s="6" t="inlineStr">
        <is>
          <t>Транспорт рабочих</t>
        </is>
      </c>
      <c r="D86" s="6" t="inlineStr">
        <is>
          <t>транспорт</t>
        </is>
      </c>
      <c r="E86" s="29" t="n">
        <v>500</v>
      </c>
      <c r="F86" s="6" t="n">
        <v>0</v>
      </c>
      <c r="G86" s="6" t="inlineStr">
        <is>
          <t>поездка</t>
        </is>
      </c>
      <c r="H86" s="28">
        <f>IF(OR(E86="",F86=""),0,E86*F86)</f>
        <v/>
      </c>
      <c r="I86" s="28">
        <f>IF(D86="закупка",H86*Параметры!$C$6,0)</f>
        <v/>
      </c>
      <c r="J86" s="28">
        <f>H86+I86</f>
        <v/>
      </c>
      <c r="L86" s="6" t="inlineStr"/>
    </row>
    <row r="87">
      <c r="B87" s="27" t="inlineStr">
        <is>
          <t>Монтаж</t>
        </is>
      </c>
      <c r="C87" s="6" t="inlineStr">
        <is>
          <t>Транспорт оборудования на объект</t>
        </is>
      </c>
      <c r="D87" s="6" t="inlineStr">
        <is>
          <t>транспорт</t>
        </is>
      </c>
      <c r="E87" s="29" t="n">
        <v>2000</v>
      </c>
      <c r="F87" s="6" t="n">
        <v>0</v>
      </c>
      <c r="G87" s="6" t="inlineStr">
        <is>
          <t>рейс</t>
        </is>
      </c>
      <c r="H87" s="28">
        <f>IF(OR(E87="",F87=""),0,E87*F87)</f>
        <v/>
      </c>
      <c r="I87" s="28">
        <f>IF(D87="закупка",H87*Параметры!$C$6,0)</f>
        <v/>
      </c>
      <c r="J87" s="28">
        <f>H87+I87</f>
        <v/>
      </c>
      <c r="L87" s="6" t="inlineStr"/>
    </row>
    <row r="88">
      <c r="B88" s="27" t="inlineStr">
        <is>
          <t>Монтаж</t>
        </is>
      </c>
      <c r="C88" s="6" t="inlineStr">
        <is>
          <t>Транспорт оборудования в цех</t>
        </is>
      </c>
      <c r="D88" s="6" t="inlineStr">
        <is>
          <t>транспорт</t>
        </is>
      </c>
      <c r="E88" s="29" t="n">
        <v>2000</v>
      </c>
      <c r="F88" s="6" t="n">
        <v>0</v>
      </c>
      <c r="G88" s="6" t="inlineStr">
        <is>
          <t>рейс</t>
        </is>
      </c>
      <c r="H88" s="28">
        <f>IF(OR(E88="",F88=""),0,E88*F88)</f>
        <v/>
      </c>
      <c r="I88" s="28">
        <f>IF(D88="закупка",H88*Параметры!$C$6,0)</f>
        <v/>
      </c>
      <c r="J88" s="28">
        <f>H88+I88</f>
        <v/>
      </c>
      <c r="L88" s="6" t="inlineStr"/>
    </row>
    <row r="89">
      <c r="B89" s="26" t="inlineStr">
        <is>
          <t>10. Расходники в день</t>
        </is>
      </c>
      <c r="C89" s="26" t="n"/>
      <c r="D89" s="26" t="n"/>
      <c r="E89" s="26" t="n"/>
      <c r="F89" s="26" t="n"/>
      <c r="G89" s="26" t="n"/>
      <c r="H89" s="26" t="n"/>
      <c r="I89" s="26" t="n"/>
      <c r="J89" s="26" t="n"/>
      <c r="L89" s="26" t="n"/>
    </row>
    <row r="90">
      <c r="B90" s="27" t="inlineStr">
        <is>
          <t>Расходники/день</t>
        </is>
      </c>
      <c r="C90" s="6" t="inlineStr">
        <is>
          <t>Абразивы</t>
        </is>
      </c>
      <c r="D90" s="6" t="inlineStr">
        <is>
          <t>закупка</t>
        </is>
      </c>
      <c r="E90" s="29" t="n">
        <v>600</v>
      </c>
      <c r="F90" s="6" t="n">
        <v>0</v>
      </c>
      <c r="G90" s="6" t="inlineStr">
        <is>
          <t>день</t>
        </is>
      </c>
      <c r="H90" s="28">
        <f>IF(OR(E90="",F90=""),0,E90*F90)</f>
        <v/>
      </c>
      <c r="I90" s="28">
        <f>IF(D90="закупка",H90*Параметры!$C$6,0)</f>
        <v/>
      </c>
      <c r="J90" s="28">
        <f>H90+I90</f>
        <v/>
      </c>
      <c r="L90" s="6" t="inlineStr"/>
    </row>
    <row r="91">
      <c r="B91" s="27" t="inlineStr">
        <is>
          <t>Расходники/день</t>
        </is>
      </c>
      <c r="C91" s="6" t="inlineStr">
        <is>
          <t>Кислород</t>
        </is>
      </c>
      <c r="D91" s="6" t="inlineStr">
        <is>
          <t>закупка</t>
        </is>
      </c>
      <c r="E91" s="29" t="n">
        <v>330</v>
      </c>
      <c r="F91" s="6" t="n">
        <v>0</v>
      </c>
      <c r="G91" s="6" t="inlineStr">
        <is>
          <t>день</t>
        </is>
      </c>
      <c r="H91" s="28">
        <f>IF(OR(E91="",F91=""),0,E91*F91)</f>
        <v/>
      </c>
      <c r="I91" s="28">
        <f>IF(D91="закупка",H91*Параметры!$C$6,0)</f>
        <v/>
      </c>
      <c r="J91" s="28">
        <f>H91+I91</f>
        <v/>
      </c>
      <c r="L91" s="6" t="inlineStr">
        <is>
          <t>ориентир: баллон / срок</t>
        </is>
      </c>
    </row>
    <row r="92">
      <c r="B92" s="27" t="inlineStr">
        <is>
          <t>Расходники/день</t>
        </is>
      </c>
      <c r="C92" s="6" t="inlineStr">
        <is>
          <t>Углекислота</t>
        </is>
      </c>
      <c r="D92" s="6" t="inlineStr">
        <is>
          <t>закупка</t>
        </is>
      </c>
      <c r="E92" s="29" t="n">
        <v>65</v>
      </c>
      <c r="F92" s="6" t="n">
        <v>0</v>
      </c>
      <c r="G92" s="6" t="inlineStr">
        <is>
          <t>день</t>
        </is>
      </c>
      <c r="H92" s="28">
        <f>IF(OR(E92="",F92=""),0,E92*F92)</f>
        <v/>
      </c>
      <c r="I92" s="28">
        <f>IF(D92="закупка",H92*Параметры!$C$6,0)</f>
        <v/>
      </c>
      <c r="J92" s="28">
        <f>H92+I92</f>
        <v/>
      </c>
      <c r="L92" s="6" t="inlineStr"/>
    </row>
    <row r="93">
      <c r="B93" s="27" t="inlineStr">
        <is>
          <t>Расходники/день</t>
        </is>
      </c>
      <c r="C93" s="6" t="inlineStr">
        <is>
          <t>Пропан (газ)</t>
        </is>
      </c>
      <c r="D93" s="6" t="inlineStr">
        <is>
          <t>закупка</t>
        </is>
      </c>
      <c r="E93" s="29" t="n">
        <v>690</v>
      </c>
      <c r="F93" s="6" t="n">
        <v>0</v>
      </c>
      <c r="G93" s="6" t="inlineStr">
        <is>
          <t>день</t>
        </is>
      </c>
      <c r="H93" s="28">
        <f>IF(OR(E93="",F93=""),0,E93*F93)</f>
        <v/>
      </c>
      <c r="I93" s="28">
        <f>IF(D93="закупка",H93*Параметры!$C$6,0)</f>
        <v/>
      </c>
      <c r="J93" s="28">
        <f>H93+I93</f>
        <v/>
      </c>
      <c r="L93" s="6" t="inlineStr"/>
    </row>
    <row r="94">
      <c r="B94" s="27" t="inlineStr">
        <is>
          <t>Расходники/день</t>
        </is>
      </c>
      <c r="C94" s="6" t="inlineStr">
        <is>
          <t>Ковка (уголь)</t>
        </is>
      </c>
      <c r="D94" s="6" t="inlineStr">
        <is>
          <t>закупка</t>
        </is>
      </c>
      <c r="E94" s="29" t="n">
        <v>3100</v>
      </c>
      <c r="F94" s="6" t="n">
        <v>0</v>
      </c>
      <c r="G94" s="6" t="inlineStr">
        <is>
          <t>день</t>
        </is>
      </c>
      <c r="H94" s="28">
        <f>IF(OR(E94="",F94=""),0,E94*F94)</f>
        <v/>
      </c>
      <c r="I94" s="28">
        <f>IF(D94="закупка",H94*Параметры!$C$6,0)</f>
        <v/>
      </c>
      <c r="J94" s="28">
        <f>H94+I94</f>
        <v/>
      </c>
      <c r="L94" s="6" t="inlineStr"/>
    </row>
    <row r="95">
      <c r="B95" s="27" t="inlineStr">
        <is>
          <t>Расходники/день</t>
        </is>
      </c>
      <c r="C95" s="6" t="inlineStr">
        <is>
          <t>Амортизация инструмента</t>
        </is>
      </c>
      <c r="D95" s="6" t="inlineStr">
        <is>
          <t>прочее</t>
        </is>
      </c>
      <c r="E95" s="29" t="n">
        <v>740</v>
      </c>
      <c r="F95" s="6" t="n">
        <v>0</v>
      </c>
      <c r="G95" s="6" t="inlineStr">
        <is>
          <t>день</t>
        </is>
      </c>
      <c r="H95" s="28">
        <f>IF(OR(E95="",F95=""),0,E95*F95)</f>
        <v/>
      </c>
      <c r="I95" s="28">
        <f>IF(D95="закупка",H95*Параметры!$C$6,0)</f>
        <v/>
      </c>
      <c r="J95" s="28">
        <f>H95+I95</f>
        <v/>
      </c>
      <c r="L95" s="6" t="inlineStr"/>
    </row>
    <row r="96">
      <c r="B96" s="27" t="n"/>
      <c r="C96" s="6" t="n"/>
      <c r="D96" s="6" t="n"/>
      <c r="E96" s="29" t="n"/>
      <c r="F96" s="6" t="n"/>
      <c r="G96" s="6" t="n"/>
      <c r="H96" s="28">
        <f>IF(OR(E96="",F96=""),0,E96*F96)</f>
        <v/>
      </c>
      <c r="I96" s="28">
        <f>IF(D96="закупка",H96*Параметры!$C$6,0)</f>
        <v/>
      </c>
      <c r="J96" s="28">
        <f>H96+I96</f>
        <v/>
      </c>
      <c r="L96" s="6" t="n"/>
    </row>
    <row r="97">
      <c r="B97" s="27" t="n"/>
      <c r="C97" s="6" t="n"/>
      <c r="D97" s="6" t="n"/>
      <c r="E97" s="29" t="n"/>
      <c r="F97" s="6" t="n"/>
      <c r="G97" s="6" t="n"/>
      <c r="H97" s="28">
        <f>IF(OR(E97="",F97=""),0,E97*F97)</f>
        <v/>
      </c>
      <c r="I97" s="28">
        <f>IF(D97="закупка",H97*Параметры!$C$6,0)</f>
        <v/>
      </c>
      <c r="J97" s="28">
        <f>H97+I97</f>
        <v/>
      </c>
      <c r="L97" s="6" t="n"/>
    </row>
    <row r="98">
      <c r="B98" s="27" t="n"/>
      <c r="C98" s="6" t="n"/>
      <c r="D98" s="6" t="n"/>
      <c r="E98" s="29" t="n"/>
      <c r="F98" s="6" t="n"/>
      <c r="G98" s="6" t="n"/>
      <c r="H98" s="28">
        <f>IF(OR(E98="",F98=""),0,E98*F98)</f>
        <v/>
      </c>
      <c r="I98" s="28">
        <f>IF(D98="закупка",H98*Параметры!$C$6,0)</f>
        <v/>
      </c>
      <c r="J98" s="28">
        <f>H98+I98</f>
        <v/>
      </c>
      <c r="L98" s="6" t="n"/>
    </row>
    <row r="99">
      <c r="B99" s="27" t="n"/>
      <c r="C99" s="6" t="n"/>
      <c r="D99" s="6" t="n"/>
      <c r="E99" s="29" t="n"/>
      <c r="F99" s="6" t="n"/>
      <c r="G99" s="6" t="n"/>
      <c r="H99" s="28">
        <f>IF(OR(E99="",F99=""),0,E99*F99)</f>
        <v/>
      </c>
      <c r="I99" s="28">
        <f>IF(D99="закупка",H99*Параметры!$C$6,0)</f>
        <v/>
      </c>
      <c r="J99" s="28">
        <f>H99+I99</f>
        <v/>
      </c>
      <c r="L99" s="6" t="n"/>
    </row>
    <row r="100">
      <c r="B100" s="27" t="n"/>
      <c r="C100" s="6" t="n"/>
      <c r="D100" s="6" t="n"/>
      <c r="E100" s="29" t="n"/>
      <c r="F100" s="6" t="n"/>
      <c r="G100" s="6" t="n"/>
      <c r="H100" s="28">
        <f>IF(OR(E100="",F100=""),0,E100*F100)</f>
        <v/>
      </c>
      <c r="I100" s="28">
        <f>IF(D100="закупка",H100*Параметры!$C$6,0)</f>
        <v/>
      </c>
      <c r="J100" s="28">
        <f>H100+I100</f>
        <v/>
      </c>
      <c r="L100" s="6" t="n"/>
    </row>
    <row r="101">
      <c r="B101" s="27" t="n"/>
      <c r="C101" s="6" t="n"/>
      <c r="D101" s="6" t="n"/>
      <c r="E101" s="29" t="n"/>
      <c r="F101" s="6" t="n"/>
      <c r="G101" s="6" t="n"/>
      <c r="H101" s="28">
        <f>IF(OR(E101="",F101=""),0,E101*F101)</f>
        <v/>
      </c>
      <c r="I101" s="28">
        <f>IF(D101="закупка",H101*Параметры!$C$6,0)</f>
        <v/>
      </c>
      <c r="J101" s="28">
        <f>H101+I101</f>
        <v/>
      </c>
      <c r="L101" s="6" t="n"/>
    </row>
    <row r="102">
      <c r="B102" s="27" t="n"/>
      <c r="C102" s="6" t="n"/>
      <c r="D102" s="6" t="n"/>
      <c r="E102" s="29" t="n"/>
      <c r="F102" s="6" t="n"/>
      <c r="G102" s="6" t="n"/>
      <c r="H102" s="28">
        <f>IF(OR(E102="",F102=""),0,E102*F102)</f>
        <v/>
      </c>
      <c r="I102" s="28">
        <f>IF(D102="закупка",H102*Параметры!$C$6,0)</f>
        <v/>
      </c>
      <c r="J102" s="28">
        <f>H102+I102</f>
        <v/>
      </c>
      <c r="L102" s="6" t="n"/>
    </row>
    <row r="103">
      <c r="B103" s="27" t="n"/>
      <c r="C103" s="6" t="n"/>
      <c r="D103" s="6" t="n"/>
      <c r="E103" s="29" t="n"/>
      <c r="F103" s="6" t="n"/>
      <c r="G103" s="6" t="n"/>
      <c r="H103" s="28">
        <f>IF(OR(E103="",F103=""),0,E103*F103)</f>
        <v/>
      </c>
      <c r="I103" s="28">
        <f>IF(D103="закупка",H103*Параметры!$C$6,0)</f>
        <v/>
      </c>
      <c r="J103" s="28">
        <f>H103+I103</f>
        <v/>
      </c>
      <c r="L103" s="6" t="n"/>
    </row>
    <row r="104">
      <c r="B104" s="27" t="n"/>
      <c r="C104" s="6" t="n"/>
      <c r="D104" s="6" t="n"/>
      <c r="E104" s="29" t="n"/>
      <c r="F104" s="6" t="n"/>
      <c r="G104" s="6" t="n"/>
      <c r="H104" s="28">
        <f>IF(OR(E104="",F104=""),0,E104*F104)</f>
        <v/>
      </c>
      <c r="I104" s="28">
        <f>IF(D104="закупка",H104*Параметры!$C$6,0)</f>
        <v/>
      </c>
      <c r="J104" s="28">
        <f>H104+I104</f>
        <v/>
      </c>
      <c r="L104" s="6" t="n"/>
    </row>
    <row r="105">
      <c r="B105" s="27" t="n"/>
      <c r="C105" s="6" t="n"/>
      <c r="D105" s="6" t="n"/>
      <c r="E105" s="29" t="n"/>
      <c r="F105" s="6" t="n"/>
      <c r="G105" s="6" t="n"/>
      <c r="H105" s="28">
        <f>IF(OR(E105="",F105=""),0,E105*F105)</f>
        <v/>
      </c>
      <c r="I105" s="28">
        <f>IF(D105="закупка",H105*Параметры!$C$6,0)</f>
        <v/>
      </c>
      <c r="J105" s="28">
        <f>H105+I105</f>
        <v/>
      </c>
      <c r="L105" s="6" t="n"/>
    </row>
    <row r="106">
      <c r="B106" s="27" t="n"/>
      <c r="C106" s="6" t="n"/>
      <c r="D106" s="6" t="n"/>
      <c r="E106" s="29" t="n"/>
      <c r="F106" s="6" t="n"/>
      <c r="G106" s="6" t="n"/>
      <c r="H106" s="28">
        <f>IF(OR(E106="",F106=""),0,E106*F106)</f>
        <v/>
      </c>
      <c r="I106" s="28">
        <f>IF(D106="закупка",H106*Параметры!$C$6,0)</f>
        <v/>
      </c>
      <c r="J106" s="28">
        <f>H106+I106</f>
        <v/>
      </c>
      <c r="L106" s="6" t="n"/>
    </row>
    <row r="107">
      <c r="B107" s="27" t="n"/>
      <c r="C107" s="6" t="n"/>
      <c r="D107" s="6" t="n"/>
      <c r="E107" s="29" t="n"/>
      <c r="F107" s="6" t="n"/>
      <c r="G107" s="6" t="n"/>
      <c r="H107" s="28">
        <f>IF(OR(E107="",F107=""),0,E107*F107)</f>
        <v/>
      </c>
      <c r="I107" s="28">
        <f>IF(D107="закупка",H107*Параметры!$C$6,0)</f>
        <v/>
      </c>
      <c r="J107" s="28">
        <f>H107+I107</f>
        <v/>
      </c>
      <c r="L107" s="6" t="n"/>
    </row>
    <row r="108">
      <c r="B108" s="27" t="n"/>
      <c r="C108" s="6" t="n"/>
      <c r="D108" s="6" t="n"/>
      <c r="E108" s="29" t="n"/>
      <c r="F108" s="6" t="n"/>
      <c r="G108" s="6" t="n"/>
      <c r="H108" s="28">
        <f>IF(OR(E108="",F108=""),0,E108*F108)</f>
        <v/>
      </c>
      <c r="I108" s="28">
        <f>IF(D108="закупка",H108*Параметры!$C$6,0)</f>
        <v/>
      </c>
      <c r="J108" s="28">
        <f>H108+I108</f>
        <v/>
      </c>
      <c r="L108" s="6" t="n"/>
    </row>
    <row r="109">
      <c r="B109" s="27" t="n"/>
      <c r="C109" s="6" t="n"/>
      <c r="D109" s="6" t="n"/>
      <c r="E109" s="29" t="n"/>
      <c r="F109" s="6" t="n"/>
      <c r="G109" s="6" t="n"/>
      <c r="H109" s="28">
        <f>IF(OR(E109="",F109=""),0,E109*F109)</f>
        <v/>
      </c>
      <c r="I109" s="28">
        <f>IF(D109="закупка",H109*Параметры!$C$6,0)</f>
        <v/>
      </c>
      <c r="J109" s="28">
        <f>H109+I109</f>
        <v/>
      </c>
      <c r="L109" s="6" t="n"/>
    </row>
    <row r="110">
      <c r="B110" s="27" t="n"/>
      <c r="C110" s="6" t="n"/>
      <c r="D110" s="6" t="n"/>
      <c r="E110" s="29" t="n"/>
      <c r="F110" s="6" t="n"/>
      <c r="G110" s="6" t="n"/>
      <c r="H110" s="28">
        <f>IF(OR(E110="",F110=""),0,E110*F110)</f>
        <v/>
      </c>
      <c r="I110" s="28">
        <f>IF(D110="закупка",H110*Параметры!$C$6,0)</f>
        <v/>
      </c>
      <c r="J110" s="28">
        <f>H110+I110</f>
        <v/>
      </c>
      <c r="L110" s="6" t="n"/>
    </row>
    <row r="111">
      <c r="B111" s="27" t="n"/>
      <c r="C111" s="6" t="n"/>
      <c r="D111" s="6" t="n"/>
      <c r="E111" s="29" t="n"/>
      <c r="F111" s="6" t="n"/>
      <c r="G111" s="6" t="n"/>
      <c r="H111" s="28">
        <f>IF(OR(E111="",F111=""),0,E111*F111)</f>
        <v/>
      </c>
      <c r="I111" s="28">
        <f>IF(D111="закупка",H111*Параметры!$C$6,0)</f>
        <v/>
      </c>
      <c r="J111" s="28">
        <f>H111+I111</f>
        <v/>
      </c>
      <c r="L111" s="6" t="n"/>
    </row>
    <row r="112">
      <c r="B112" s="27" t="n"/>
      <c r="C112" s="6" t="n"/>
      <c r="D112" s="6" t="n"/>
      <c r="E112" s="29" t="n"/>
      <c r="F112" s="6" t="n"/>
      <c r="G112" s="6" t="n"/>
      <c r="H112" s="28">
        <f>IF(OR(E112="",F112=""),0,E112*F112)</f>
        <v/>
      </c>
      <c r="I112" s="28">
        <f>IF(D112="закупка",H112*Параметры!$C$6,0)</f>
        <v/>
      </c>
      <c r="J112" s="28">
        <f>H112+I112</f>
        <v/>
      </c>
      <c r="L112" s="6" t="n"/>
    </row>
    <row r="113">
      <c r="B113" s="27" t="n"/>
      <c r="C113" s="6" t="n"/>
      <c r="D113" s="6" t="n"/>
      <c r="E113" s="29" t="n"/>
      <c r="F113" s="6" t="n"/>
      <c r="G113" s="6" t="n"/>
      <c r="H113" s="28">
        <f>IF(OR(E113="",F113=""),0,E113*F113)</f>
        <v/>
      </c>
      <c r="I113" s="28">
        <f>IF(D113="закупка",H113*Параметры!$C$6,0)</f>
        <v/>
      </c>
      <c r="J113" s="28">
        <f>H113+I113</f>
        <v/>
      </c>
      <c r="L113" s="6" t="n"/>
    </row>
    <row r="114">
      <c r="B114" s="27" t="n"/>
      <c r="C114" s="6" t="n"/>
      <c r="D114" s="6" t="n"/>
      <c r="E114" s="29" t="n"/>
      <c r="F114" s="6" t="n"/>
      <c r="G114" s="6" t="n"/>
      <c r="H114" s="28">
        <f>IF(OR(E114="",F114=""),0,E114*F114)</f>
        <v/>
      </c>
      <c r="I114" s="28">
        <f>IF(D114="закупка",H114*Параметры!$C$6,0)</f>
        <v/>
      </c>
      <c r="J114" s="28">
        <f>H114+I114</f>
        <v/>
      </c>
      <c r="L114" s="6" t="n"/>
    </row>
    <row r="115">
      <c r="B115" s="27" t="n"/>
      <c r="C115" s="6" t="n"/>
      <c r="D115" s="6" t="n"/>
      <c r="E115" s="29" t="n"/>
      <c r="F115" s="6" t="n"/>
      <c r="G115" s="6" t="n"/>
      <c r="H115" s="28">
        <f>IF(OR(E115="",F115=""),0,E115*F115)</f>
        <v/>
      </c>
      <c r="I115" s="28">
        <f>IF(D115="закупка",H115*Параметры!$C$6,0)</f>
        <v/>
      </c>
      <c r="J115" s="28">
        <f>H115+I115</f>
        <v/>
      </c>
      <c r="L115" s="6" t="n"/>
    </row>
    <row r="117">
      <c r="B117" s="2" t="inlineStr">
        <is>
          <t>Пустые строки — для своих позиций. Тип «закупка» включает наценку менеджера автоматически.</t>
        </is>
      </c>
    </row>
  </sheetData>
  <autoFilter ref="B15:L115"/>
  <mergeCells count="13">
    <mergeCell ref="B73:L73"/>
    <mergeCell ref="B16:L16"/>
    <mergeCell ref="B54:L54"/>
    <mergeCell ref="B69:L69"/>
    <mergeCell ref="B3:L3"/>
    <mergeCell ref="B2:L2"/>
    <mergeCell ref="B47:L47"/>
    <mergeCell ref="B81:L81"/>
    <mergeCell ref="B89:L89"/>
    <mergeCell ref="N5:O5"/>
    <mergeCell ref="B32:L32"/>
    <mergeCell ref="B23:L23"/>
    <mergeCell ref="B41:L41"/>
  </mergeCells>
  <dataValidations count="1">
    <dataValidation sqref="D17 D18 D19 D20 D21 D22 D24 D25 D26 D27 D28 D29 D30 D31 D33 D34 D35 D36 D37 D38 D39 D40 D42 D43 D44 D45 D46 D48 D49 D50 D51 D52 D53 D55 D56 D57 D58 D59 D60 D61 D62 D63 D64 D65 D66 D67 D68 D70 D71 D72 D74 D75 D76 D77 D78 D79 D80 D82 D83 D84 D85 D86 D87 D88 D90 D91 D92 D93 D94 D95 D96 D97 D98 D99 D100 D101 D102 D103 D104 D105 D106 D107 D108 D109 D110 D111 D112 D113 D114 D115" showDropDown="0" showInputMessage="0" showErrorMessage="0" allowBlank="1" type="list">
      <formula1>"закупка,труд,транспорт,аренда,услуга,прочее"</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10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8" customWidth="1" min="2" max="2"/>
    <col width="16" customWidth="1" min="3" max="3"/>
    <col width="10" customWidth="1" min="4" max="4"/>
    <col width="8" customWidth="1" min="5" max="5"/>
    <col width="26" customWidth="1" min="6" max="6"/>
    <col width="18" customWidth="1" min="7" max="7"/>
    <col width="16" customWidth="1" min="8" max="8"/>
    <col width="18" customWidth="1" min="9" max="9"/>
    <col width="12" customWidth="1" min="10" max="10"/>
  </cols>
  <sheetData>
    <row r="2">
      <c r="B2" s="1" t="inlineStr">
        <is>
          <t>МЕТАЛЛ И КОМПЛЕКТУЮЩИЕ — каталог</t>
        </is>
      </c>
    </row>
    <row r="3">
      <c r="B3" s="2" t="inlineStr">
        <is>
          <t>Цена поставщика = за 1 шт (штанга 6 м). Кол-во — сколько штанг в заказ. Вес 6м — справочно. Наценка менеджера: себестоимость × % из Параметров.</t>
        </is>
      </c>
    </row>
    <row r="4">
      <c r="B4" s="3" t="inlineStr">
        <is>
          <t>ПРОКАТ (каталог поставщика)</t>
        </is>
      </c>
      <c r="C4" s="11" t="n"/>
      <c r="D4" s="11" t="n"/>
      <c r="E4" s="11" t="n"/>
      <c r="F4" s="11" t="n"/>
      <c r="G4" s="11" t="n"/>
      <c r="H4" s="11" t="n"/>
      <c r="I4" s="4" t="n"/>
    </row>
    <row r="5">
      <c r="B5" s="10" t="inlineStr">
        <is>
          <t>Прокат</t>
        </is>
      </c>
      <c r="C5" s="10" t="inlineStr">
        <is>
          <t>Сечение</t>
        </is>
      </c>
      <c r="D5" s="10" t="inlineStr">
        <is>
          <t>Кол-во</t>
        </is>
      </c>
      <c r="E5" s="10" t="inlineStr">
        <is>
          <t>Ед.</t>
        </is>
      </c>
      <c r="F5" s="10" t="inlineStr">
        <is>
          <t>Цена поставщика, ₽/шт (6м)</t>
        </is>
      </c>
      <c r="G5" s="10" t="inlineStr">
        <is>
          <t>С наценкой менеджера</t>
        </is>
      </c>
      <c r="H5" s="10" t="inlineStr">
        <is>
          <t>Себестоимость</t>
        </is>
      </c>
      <c r="I5" s="10" t="inlineStr">
        <is>
          <t>Наценка менеджера</t>
        </is>
      </c>
      <c r="J5" s="10" t="inlineStr">
        <is>
          <t>Вес 6м, кг</t>
        </is>
      </c>
    </row>
    <row r="6">
      <c r="B6" s="6" t="inlineStr">
        <is>
          <t>Квадрат</t>
        </is>
      </c>
      <c r="C6" s="6" t="inlineStr">
        <is>
          <t>10х10</t>
        </is>
      </c>
      <c r="D6" s="6" t="n">
        <v>0</v>
      </c>
      <c r="E6" s="6" t="inlineStr">
        <is>
          <t>шт</t>
        </is>
      </c>
      <c r="F6" s="29" t="n">
        <v>428.3</v>
      </c>
      <c r="G6" s="9">
        <f>H6*(1+Параметры!$C$6)</f>
        <v/>
      </c>
      <c r="H6" s="9">
        <f>IF(OR(D6="",F6=""),0,D6*F6)</f>
        <v/>
      </c>
      <c r="I6" s="9">
        <f>H6*Параметры!$C$6</f>
        <v/>
      </c>
      <c r="J6" s="31" t="n">
        <v>5.1</v>
      </c>
    </row>
    <row r="7">
      <c r="B7" s="6" t="inlineStr">
        <is>
          <t>Квадрат</t>
        </is>
      </c>
      <c r="C7" s="6" t="inlineStr">
        <is>
          <t>12х12</t>
        </is>
      </c>
      <c r="D7" s="6" t="n">
        <v>0</v>
      </c>
      <c r="E7" s="6" t="inlineStr">
        <is>
          <t>шт</t>
        </is>
      </c>
      <c r="F7" s="29" t="n">
        <v>596.26</v>
      </c>
      <c r="G7" s="9">
        <f>H7*(1+Параметры!$C$6)</f>
        <v/>
      </c>
      <c r="H7" s="9">
        <f>IF(OR(D7="",F7=""),0,D7*F7)</f>
        <v/>
      </c>
      <c r="I7" s="9">
        <f>H7*Параметры!$C$6</f>
        <v/>
      </c>
      <c r="J7" s="31" t="n">
        <v>7.1</v>
      </c>
    </row>
    <row r="8">
      <c r="B8" s="6" t="inlineStr">
        <is>
          <t>Квадрат</t>
        </is>
      </c>
      <c r="C8" s="6" t="inlineStr">
        <is>
          <t>14х14</t>
        </is>
      </c>
      <c r="D8" s="6" t="n">
        <v>0</v>
      </c>
      <c r="E8" s="6" t="inlineStr">
        <is>
          <t>шт</t>
        </is>
      </c>
      <c r="F8" s="29" t="n">
        <v>797.8099999999999</v>
      </c>
      <c r="G8" s="9">
        <f>H8*(1+Параметры!$C$6)</f>
        <v/>
      </c>
      <c r="H8" s="9">
        <f>IF(OR(D8="",F8=""),0,D8*F8)</f>
        <v/>
      </c>
      <c r="I8" s="9">
        <f>H8*Параметры!$C$6</f>
        <v/>
      </c>
      <c r="J8" s="31" t="n">
        <v>9.5</v>
      </c>
    </row>
    <row r="9">
      <c r="B9" s="6" t="inlineStr">
        <is>
          <t>Квадрат</t>
        </is>
      </c>
      <c r="C9" s="6" t="inlineStr">
        <is>
          <t>16х16</t>
        </is>
      </c>
      <c r="D9" s="6" t="n">
        <v>0</v>
      </c>
      <c r="E9" s="6" t="inlineStr">
        <is>
          <t>шт</t>
        </is>
      </c>
      <c r="F9" s="29" t="n">
        <v>1058.15</v>
      </c>
      <c r="G9" s="9">
        <f>H9*(1+Параметры!$C$6)</f>
        <v/>
      </c>
      <c r="H9" s="9">
        <f>IF(OR(D9="",F9=""),0,D9*F9)</f>
        <v/>
      </c>
      <c r="I9" s="9">
        <f>H9*Параметры!$C$6</f>
        <v/>
      </c>
      <c r="J9" s="31" t="n">
        <v>12.6</v>
      </c>
    </row>
    <row r="10">
      <c r="B10" s="6" t="inlineStr">
        <is>
          <t>Труба квадрат.</t>
        </is>
      </c>
      <c r="C10" s="6" t="inlineStr">
        <is>
          <t>15х15х1.5</t>
        </is>
      </c>
      <c r="D10" s="6" t="n">
        <v>0</v>
      </c>
      <c r="E10" s="6" t="inlineStr">
        <is>
          <t>шт</t>
        </is>
      </c>
      <c r="F10" s="29" t="n">
        <v>383.8</v>
      </c>
      <c r="G10" s="9">
        <f>H10*(1+Параметры!$C$6)</f>
        <v/>
      </c>
      <c r="H10" s="9">
        <f>IF(OR(D10="",F10=""),0,D10*F10)</f>
        <v/>
      </c>
      <c r="I10" s="9">
        <f>H10*Параметры!$C$6</f>
        <v/>
      </c>
      <c r="J10" s="31" t="n">
        <v>4</v>
      </c>
    </row>
    <row r="11">
      <c r="B11" s="6" t="inlineStr">
        <is>
          <t>Труба квадрат.</t>
        </is>
      </c>
      <c r="C11" s="6" t="inlineStr">
        <is>
          <t>20х20х1.5</t>
        </is>
      </c>
      <c r="D11" s="6" t="n">
        <v>0</v>
      </c>
      <c r="E11" s="6" t="inlineStr">
        <is>
          <t>шт</t>
        </is>
      </c>
      <c r="F11" s="29" t="n">
        <v>575.7</v>
      </c>
      <c r="G11" s="9">
        <f>H11*(1+Параметры!$C$6)</f>
        <v/>
      </c>
      <c r="H11" s="9">
        <f>IF(OR(D11="",F11=""),0,D11*F11)</f>
        <v/>
      </c>
      <c r="I11" s="9">
        <f>H11*Параметры!$C$6</f>
        <v/>
      </c>
      <c r="J11" s="31" t="n">
        <v>6</v>
      </c>
    </row>
    <row r="12">
      <c r="B12" s="6" t="inlineStr">
        <is>
          <t>Труба квадрат.</t>
        </is>
      </c>
      <c r="C12" s="6" t="inlineStr">
        <is>
          <t>20х20х2.0</t>
        </is>
      </c>
      <c r="D12" s="6" t="n">
        <v>0</v>
      </c>
      <c r="E12" s="6" t="inlineStr">
        <is>
          <t>шт</t>
        </is>
      </c>
      <c r="F12" s="29" t="n">
        <v>586.53</v>
      </c>
      <c r="G12" s="9">
        <f>H12*(1+Параметры!$C$6)</f>
        <v/>
      </c>
      <c r="H12" s="9">
        <f>IF(OR(D12="",F12=""),0,D12*F12)</f>
        <v/>
      </c>
      <c r="I12" s="9">
        <f>H12*Параметры!$C$6</f>
        <v/>
      </c>
      <c r="J12" s="31" t="n">
        <v>7</v>
      </c>
    </row>
    <row r="13">
      <c r="B13" s="6" t="inlineStr">
        <is>
          <t>Труба квадрат.</t>
        </is>
      </c>
      <c r="C13" s="6" t="inlineStr">
        <is>
          <t>30х30х2.0</t>
        </is>
      </c>
      <c r="D13" s="6" t="n">
        <v>0</v>
      </c>
      <c r="E13" s="6" t="inlineStr">
        <is>
          <t>шт</t>
        </is>
      </c>
      <c r="F13" s="29" t="n">
        <v>921.6900000000001</v>
      </c>
      <c r="G13" s="9">
        <f>H13*(1+Параметры!$C$6)</f>
        <v/>
      </c>
      <c r="H13" s="9">
        <f>IF(OR(D13="",F13=""),0,D13*F13)</f>
        <v/>
      </c>
      <c r="I13" s="9">
        <f>H13*Параметры!$C$6</f>
        <v/>
      </c>
      <c r="J13" s="31" t="n">
        <v>11</v>
      </c>
    </row>
    <row r="14">
      <c r="B14" s="6" t="inlineStr">
        <is>
          <t>Труба квадрат.</t>
        </is>
      </c>
      <c r="C14" s="6" t="inlineStr">
        <is>
          <t>40х40х1.5</t>
        </is>
      </c>
      <c r="D14" s="6" t="n">
        <v>0</v>
      </c>
      <c r="E14" s="6" t="inlineStr">
        <is>
          <t>шт</t>
        </is>
      </c>
      <c r="F14" s="29" t="n">
        <v>1151.4</v>
      </c>
      <c r="G14" s="9">
        <f>H14*(1+Параметры!$C$6)</f>
        <v/>
      </c>
      <c r="H14" s="9">
        <f>IF(OR(D14="",F14=""),0,D14*F14)</f>
        <v/>
      </c>
      <c r="I14" s="9">
        <f>H14*Параметры!$C$6</f>
        <v/>
      </c>
      <c r="J14" s="31" t="n">
        <v>12</v>
      </c>
    </row>
    <row r="15">
      <c r="B15" s="6" t="inlineStr">
        <is>
          <t>Труба квадрат.</t>
        </is>
      </c>
      <c r="C15" s="6" t="inlineStr">
        <is>
          <t>40х40х2.0</t>
        </is>
      </c>
      <c r="D15" s="6" t="n">
        <v>0</v>
      </c>
      <c r="E15" s="6" t="inlineStr">
        <is>
          <t>шт</t>
        </is>
      </c>
      <c r="F15" s="29" t="n">
        <v>1256.85</v>
      </c>
      <c r="G15" s="9">
        <f>H15*(1+Параметры!$C$6)</f>
        <v/>
      </c>
      <c r="H15" s="9">
        <f>IF(OR(D15="",F15=""),0,D15*F15)</f>
        <v/>
      </c>
      <c r="I15" s="9">
        <f>H15*Параметры!$C$6</f>
        <v/>
      </c>
      <c r="J15" s="31" t="n">
        <v>15</v>
      </c>
    </row>
    <row r="16">
      <c r="B16" s="6" t="inlineStr">
        <is>
          <t>Труба прямоуг.</t>
        </is>
      </c>
      <c r="C16" s="6" t="inlineStr">
        <is>
          <t>40х20х1.5</t>
        </is>
      </c>
      <c r="D16" s="6" t="n">
        <v>0</v>
      </c>
      <c r="E16" s="6" t="inlineStr">
        <is>
          <t>шт</t>
        </is>
      </c>
      <c r="F16" s="29" t="n">
        <v>863.55</v>
      </c>
      <c r="G16" s="9">
        <f>H16*(1+Параметры!$C$6)</f>
        <v/>
      </c>
      <c r="H16" s="9">
        <f>IF(OR(D16="",F16=""),0,D16*F16)</f>
        <v/>
      </c>
      <c r="I16" s="9">
        <f>H16*Параметры!$C$6</f>
        <v/>
      </c>
      <c r="J16" s="31" t="n">
        <v>9</v>
      </c>
    </row>
    <row r="17">
      <c r="B17" s="6" t="inlineStr">
        <is>
          <t>Труба прямоуг.</t>
        </is>
      </c>
      <c r="C17" s="6" t="inlineStr">
        <is>
          <t>40х20х2.0</t>
        </is>
      </c>
      <c r="D17" s="6" t="n">
        <v>0</v>
      </c>
      <c r="E17" s="6" t="inlineStr">
        <is>
          <t>шт</t>
        </is>
      </c>
      <c r="F17" s="29" t="n">
        <v>921.6900000000001</v>
      </c>
      <c r="G17" s="9">
        <f>H17*(1+Параметры!$C$6)</f>
        <v/>
      </c>
      <c r="H17" s="9">
        <f>IF(OR(D17="",F17=""),0,D17*F17)</f>
        <v/>
      </c>
      <c r="I17" s="9">
        <f>H17*Параметры!$C$6</f>
        <v/>
      </c>
      <c r="J17" s="31" t="n">
        <v>11</v>
      </c>
    </row>
    <row r="18">
      <c r="B18" s="6" t="inlineStr">
        <is>
          <t>Труба прямоуг.</t>
        </is>
      </c>
      <c r="C18" s="6" t="inlineStr">
        <is>
          <t>50х25х1.5</t>
        </is>
      </c>
      <c r="D18" s="6" t="n">
        <v>0</v>
      </c>
      <c r="E18" s="6" t="inlineStr">
        <is>
          <t>шт</t>
        </is>
      </c>
      <c r="F18" s="29" t="n">
        <v>1151.4</v>
      </c>
      <c r="G18" s="9">
        <f>H18*(1+Параметры!$C$6)</f>
        <v/>
      </c>
      <c r="H18" s="9">
        <f>IF(OR(D18="",F18=""),0,D18*F18)</f>
        <v/>
      </c>
      <c r="I18" s="9">
        <f>H18*Параметры!$C$6</f>
        <v/>
      </c>
      <c r="J18" s="31" t="n">
        <v>12</v>
      </c>
    </row>
    <row r="19">
      <c r="B19" s="6" t="inlineStr">
        <is>
          <t>Труба прямоуг.</t>
        </is>
      </c>
      <c r="C19" s="6" t="inlineStr">
        <is>
          <t>50х25х2.0</t>
        </is>
      </c>
      <c r="D19" s="6" t="n">
        <v>0</v>
      </c>
      <c r="E19" s="6" t="inlineStr">
        <is>
          <t>шт</t>
        </is>
      </c>
      <c r="F19" s="29" t="n">
        <v>1173.06</v>
      </c>
      <c r="G19" s="9">
        <f>H19*(1+Параметры!$C$6)</f>
        <v/>
      </c>
      <c r="H19" s="9">
        <f>IF(OR(D19="",F19=""),0,D19*F19)</f>
        <v/>
      </c>
      <c r="I19" s="9">
        <f>H19*Параметры!$C$6</f>
        <v/>
      </c>
      <c r="J19" s="31" t="n">
        <v>14</v>
      </c>
    </row>
    <row r="20">
      <c r="B20" s="6" t="inlineStr">
        <is>
          <t>Полоса</t>
        </is>
      </c>
      <c r="C20" s="6" t="inlineStr">
        <is>
          <t>20х4 мм</t>
        </is>
      </c>
      <c r="D20" s="6" t="n">
        <v>0</v>
      </c>
      <c r="E20" s="6" t="inlineStr">
        <is>
          <t>шт</t>
        </is>
      </c>
      <c r="F20" s="29" t="n">
        <v>397.04</v>
      </c>
      <c r="G20" s="9">
        <f>H20*(1+Параметры!$C$6)</f>
        <v/>
      </c>
      <c r="H20" s="9">
        <f>IF(OR(D20="",F20=""),0,D20*F20)</f>
        <v/>
      </c>
      <c r="I20" s="9">
        <f>H20*Параметры!$C$6</f>
        <v/>
      </c>
      <c r="J20" s="31" t="n">
        <v>4.1</v>
      </c>
    </row>
    <row r="21">
      <c r="B21" s="6" t="inlineStr">
        <is>
          <t>Полоса</t>
        </is>
      </c>
      <c r="C21" s="6" t="inlineStr">
        <is>
          <t>25х4 мм</t>
        </is>
      </c>
      <c r="D21" s="6" t="n">
        <v>0</v>
      </c>
      <c r="E21" s="6" t="inlineStr">
        <is>
          <t>шт</t>
        </is>
      </c>
      <c r="F21" s="29" t="n">
        <v>493.88</v>
      </c>
      <c r="G21" s="9">
        <f>H21*(1+Параметры!$C$6)</f>
        <v/>
      </c>
      <c r="H21" s="9">
        <f>IF(OR(D21="",F21=""),0,D21*F21)</f>
        <v/>
      </c>
      <c r="I21" s="9">
        <f>H21*Параметры!$C$6</f>
        <v/>
      </c>
      <c r="J21" s="31" t="n">
        <v>5.1</v>
      </c>
    </row>
    <row r="22">
      <c r="B22" s="6" t="inlineStr">
        <is>
          <t>Полоса</t>
        </is>
      </c>
      <c r="C22" s="6" t="inlineStr">
        <is>
          <t>30х4 мм</t>
        </is>
      </c>
      <c r="D22" s="6" t="n">
        <v>0</v>
      </c>
      <c r="E22" s="6" t="inlineStr">
        <is>
          <t>шт</t>
        </is>
      </c>
      <c r="F22" s="29" t="n">
        <v>557.85</v>
      </c>
      <c r="G22" s="9">
        <f>H22*(1+Параметры!$C$6)</f>
        <v/>
      </c>
      <c r="H22" s="9">
        <f>IF(OR(D22="",F22=""),0,D22*F22)</f>
        <v/>
      </c>
      <c r="I22" s="9">
        <f>H22*Параметры!$C$6</f>
        <v/>
      </c>
      <c r="J22" s="31" t="n">
        <v>6.1</v>
      </c>
    </row>
    <row r="23">
      <c r="B23" s="6" t="inlineStr">
        <is>
          <t>Полоса</t>
        </is>
      </c>
      <c r="C23" s="6" t="inlineStr">
        <is>
          <t>40х4 мм</t>
        </is>
      </c>
      <c r="D23" s="6" t="n">
        <v>0</v>
      </c>
      <c r="E23" s="6" t="inlineStr">
        <is>
          <t>шт</t>
        </is>
      </c>
      <c r="F23" s="29" t="n">
        <v>731.6</v>
      </c>
      <c r="G23" s="9">
        <f>H23*(1+Параметры!$C$6)</f>
        <v/>
      </c>
      <c r="H23" s="9">
        <f>IF(OR(D23="",F23=""),0,D23*F23)</f>
        <v/>
      </c>
      <c r="I23" s="9">
        <f>H23*Параметры!$C$6</f>
        <v/>
      </c>
      <c r="J23" s="31" t="n">
        <v>8</v>
      </c>
    </row>
    <row r="24">
      <c r="B24" s="6" t="inlineStr">
        <is>
          <t>Полоса</t>
        </is>
      </c>
      <c r="C24" s="6" t="inlineStr">
        <is>
          <t>50х4 мм</t>
        </is>
      </c>
      <c r="D24" s="6" t="n">
        <v>0</v>
      </c>
      <c r="E24" s="6" t="inlineStr">
        <is>
          <t>шт</t>
        </is>
      </c>
      <c r="F24" s="29" t="n">
        <v>914.5</v>
      </c>
      <c r="G24" s="9">
        <f>H24*(1+Параметры!$C$6)</f>
        <v/>
      </c>
      <c r="H24" s="9">
        <f>IF(OR(D24="",F24=""),0,D24*F24)</f>
        <v/>
      </c>
      <c r="I24" s="9">
        <f>H24*Параметры!$C$6</f>
        <v/>
      </c>
      <c r="J24" s="31" t="n">
        <v>10</v>
      </c>
    </row>
    <row r="25">
      <c r="B25" s="6" t="inlineStr">
        <is>
          <t>Полоса</t>
        </is>
      </c>
      <c r="C25" s="6" t="inlineStr">
        <is>
          <t>100х10 мм</t>
        </is>
      </c>
      <c r="D25" s="6" t="n">
        <v>0</v>
      </c>
      <c r="E25" s="6" t="inlineStr">
        <is>
          <t>шт</t>
        </is>
      </c>
      <c r="F25" s="29" t="n">
        <v>4687.83</v>
      </c>
      <c r="G25" s="9">
        <f>H25*(1+Параметры!$C$6)</f>
        <v/>
      </c>
      <c r="H25" s="9">
        <f>IF(OR(D25="",F25=""),0,D25*F25)</f>
        <v/>
      </c>
      <c r="I25" s="9">
        <f>H25*Параметры!$C$6</f>
        <v/>
      </c>
      <c r="J25" s="31" t="n">
        <v>49</v>
      </c>
    </row>
    <row r="26">
      <c r="B26" s="6" t="inlineStr">
        <is>
          <t>Труба в/г</t>
        </is>
      </c>
      <c r="C26" s="6" t="inlineStr">
        <is>
          <t>15х2.8</t>
        </is>
      </c>
      <c r="D26" s="6" t="n">
        <v>0</v>
      </c>
      <c r="E26" s="6" t="inlineStr">
        <is>
          <t>шт</t>
        </is>
      </c>
      <c r="F26" s="29" t="n">
        <v>641.52</v>
      </c>
      <c r="G26" s="9">
        <f>H26*(1+Параметры!$C$6)</f>
        <v/>
      </c>
      <c r="H26" s="9">
        <f>IF(OR(D26="",F26=""),0,D26*F26)</f>
        <v/>
      </c>
      <c r="I26" s="9">
        <f>H26*Параметры!$C$6</f>
        <v/>
      </c>
      <c r="J26" s="31" t="n">
        <v>8</v>
      </c>
    </row>
    <row r="27">
      <c r="B27" s="6" t="inlineStr">
        <is>
          <t>Труба в/г</t>
        </is>
      </c>
      <c r="C27" s="6" t="inlineStr">
        <is>
          <t>20х2.8</t>
        </is>
      </c>
      <c r="D27" s="6" t="n">
        <v>0</v>
      </c>
      <c r="E27" s="6" t="inlineStr">
        <is>
          <t>шт</t>
        </is>
      </c>
      <c r="F27" s="29" t="n">
        <v>882.09</v>
      </c>
      <c r="G27" s="9">
        <f>H27*(1+Параметры!$C$6)</f>
        <v/>
      </c>
      <c r="H27" s="9">
        <f>IF(OR(D27="",F27=""),0,D27*F27)</f>
        <v/>
      </c>
      <c r="I27" s="9">
        <f>H27*Параметры!$C$6</f>
        <v/>
      </c>
      <c r="J27" s="31" t="n">
        <v>11</v>
      </c>
    </row>
    <row r="28">
      <c r="B28" s="6" t="inlineStr">
        <is>
          <t>Труба в/г</t>
        </is>
      </c>
      <c r="C28" s="6" t="inlineStr">
        <is>
          <t>25х3.2</t>
        </is>
      </c>
      <c r="D28" s="6" t="n">
        <v>0</v>
      </c>
      <c r="E28" s="6" t="inlineStr">
        <is>
          <t>шт</t>
        </is>
      </c>
      <c r="F28" s="29" t="n">
        <v>1268.8</v>
      </c>
      <c r="G28" s="9">
        <f>H28*(1+Параметры!$C$6)</f>
        <v/>
      </c>
      <c r="H28" s="9">
        <f>IF(OR(D28="",F28=""),0,D28*F28)</f>
        <v/>
      </c>
      <c r="I28" s="9">
        <f>H28*Параметры!$C$6</f>
        <v/>
      </c>
      <c r="J28" s="31" t="n">
        <v>16</v>
      </c>
    </row>
    <row r="29">
      <c r="B29" s="6" t="inlineStr">
        <is>
          <t>Труба в/г</t>
        </is>
      </c>
      <c r="C29" s="6" t="inlineStr">
        <is>
          <t>32х3.2</t>
        </is>
      </c>
      <c r="D29" s="6" t="n">
        <v>0</v>
      </c>
      <c r="E29" s="6" t="inlineStr">
        <is>
          <t>шт</t>
        </is>
      </c>
      <c r="F29" s="29" t="n">
        <v>1586</v>
      </c>
      <c r="G29" s="9">
        <f>H29*(1+Параметры!$C$6)</f>
        <v/>
      </c>
      <c r="H29" s="9">
        <f>IF(OR(D29="",F29=""),0,D29*F29)</f>
        <v/>
      </c>
      <c r="I29" s="9">
        <f>H29*Параметры!$C$6</f>
        <v/>
      </c>
      <c r="J29" s="31" t="n">
        <v>20</v>
      </c>
    </row>
    <row r="30">
      <c r="B30" s="6" t="inlineStr">
        <is>
          <t>Труба в/г</t>
        </is>
      </c>
      <c r="C30" s="6" t="inlineStr">
        <is>
          <t>40х3.5</t>
        </is>
      </c>
      <c r="D30" s="6" t="n">
        <v>0</v>
      </c>
      <c r="E30" s="6" t="inlineStr">
        <is>
          <t>шт</t>
        </is>
      </c>
      <c r="F30" s="29" t="n">
        <v>1982.5</v>
      </c>
      <c r="G30" s="9">
        <f>H30*(1+Параметры!$C$6)</f>
        <v/>
      </c>
      <c r="H30" s="9">
        <f>IF(OR(D30="",F30=""),0,D30*F30)</f>
        <v/>
      </c>
      <c r="I30" s="9">
        <f>H30*Параметры!$C$6</f>
        <v/>
      </c>
      <c r="J30" s="31" t="n">
        <v>25</v>
      </c>
    </row>
    <row r="31">
      <c r="B31" s="6" t="inlineStr">
        <is>
          <t>Прокат круглый</t>
        </is>
      </c>
      <c r="C31" s="6" t="inlineStr">
        <is>
          <t>Ø6</t>
        </is>
      </c>
      <c r="D31" s="6" t="n">
        <v>0</v>
      </c>
      <c r="E31" s="6" t="inlineStr">
        <is>
          <t>шт</t>
        </is>
      </c>
      <c r="F31" s="29" t="n">
        <v>156.24</v>
      </c>
      <c r="G31" s="9">
        <f>H31*(1+Параметры!$C$6)</f>
        <v/>
      </c>
      <c r="H31" s="9">
        <f>IF(OR(D31="",F31=""),0,D31*F31)</f>
        <v/>
      </c>
      <c r="I31" s="9">
        <f>H31*Параметры!$C$6</f>
        <v/>
      </c>
      <c r="J31" s="31" t="n">
        <v>1.6</v>
      </c>
    </row>
    <row r="32">
      <c r="B32" s="6" t="inlineStr">
        <is>
          <t>Прокат круглый</t>
        </is>
      </c>
      <c r="C32" s="6" t="inlineStr">
        <is>
          <t>Ø8</t>
        </is>
      </c>
      <c r="D32" s="6" t="n">
        <v>0</v>
      </c>
      <c r="E32" s="6" t="inlineStr">
        <is>
          <t>шт</t>
        </is>
      </c>
      <c r="F32" s="29" t="n">
        <v>270.87</v>
      </c>
      <c r="G32" s="9">
        <f>H32*(1+Параметры!$C$6)</f>
        <v/>
      </c>
      <c r="H32" s="9">
        <f>IF(OR(D32="",F32=""),0,D32*F32)</f>
        <v/>
      </c>
      <c r="I32" s="9">
        <f>H32*Параметры!$C$6</f>
        <v/>
      </c>
      <c r="J32" s="31" t="n">
        <v>2.8</v>
      </c>
    </row>
    <row r="33">
      <c r="B33" s="6" t="inlineStr">
        <is>
          <t>Прокат круглый</t>
        </is>
      </c>
      <c r="C33" s="6" t="inlineStr">
        <is>
          <t>Ø10</t>
        </is>
      </c>
      <c r="D33" s="6" t="n">
        <v>0</v>
      </c>
      <c r="E33" s="6" t="inlineStr">
        <is>
          <t>шт</t>
        </is>
      </c>
      <c r="F33" s="29" t="n">
        <v>387.8</v>
      </c>
      <c r="G33" s="9">
        <f>H33*(1+Параметры!$C$6)</f>
        <v/>
      </c>
      <c r="H33" s="9">
        <f>IF(OR(D33="",F33=""),0,D33*F33)</f>
        <v/>
      </c>
      <c r="I33" s="9">
        <f>H33*Параметры!$C$6</f>
        <v/>
      </c>
      <c r="J33" s="31" t="n">
        <v>4</v>
      </c>
    </row>
    <row r="34">
      <c r="B34" s="6" t="inlineStr">
        <is>
          <t>Прокат круглый</t>
        </is>
      </c>
      <c r="C34" s="6" t="inlineStr">
        <is>
          <t>Ø12</t>
        </is>
      </c>
      <c r="D34" s="6" t="n">
        <v>0</v>
      </c>
      <c r="E34" s="6" t="inlineStr">
        <is>
          <t>шт</t>
        </is>
      </c>
      <c r="F34" s="29" t="n">
        <v>581.7</v>
      </c>
      <c r="G34" s="9">
        <f>H34*(1+Параметры!$C$6)</f>
        <v/>
      </c>
      <c r="H34" s="9">
        <f>IF(OR(D34="",F34=""),0,D34*F34)</f>
        <v/>
      </c>
      <c r="I34" s="9">
        <f>H34*Параметры!$C$6</f>
        <v/>
      </c>
      <c r="J34" s="31" t="n">
        <v>6</v>
      </c>
    </row>
    <row r="35">
      <c r="B35" s="6" t="inlineStr">
        <is>
          <t>Прокат круглый</t>
        </is>
      </c>
      <c r="C35" s="6" t="inlineStr">
        <is>
          <t>Ø14</t>
        </is>
      </c>
      <c r="D35" s="6" t="n">
        <v>0</v>
      </c>
      <c r="E35" s="6" t="inlineStr">
        <is>
          <t>шт</t>
        </is>
      </c>
      <c r="F35" s="29" t="n">
        <v>1352.55</v>
      </c>
      <c r="G35" s="9">
        <f>H35*(1+Параметры!$C$6)</f>
        <v/>
      </c>
      <c r="H35" s="9">
        <f>IF(OR(D35="",F35=""),0,D35*F35)</f>
        <v/>
      </c>
      <c r="I35" s="9">
        <f>H35*Параметры!$C$6</f>
        <v/>
      </c>
      <c r="J35" s="31" t="n">
        <v>15</v>
      </c>
    </row>
    <row r="36">
      <c r="B36" s="6" t="inlineStr">
        <is>
          <t>Прокат круглый</t>
        </is>
      </c>
      <c r="C36" s="6" t="inlineStr">
        <is>
          <t>Ø16</t>
        </is>
      </c>
      <c r="D36" s="6" t="n">
        <v>0</v>
      </c>
      <c r="E36" s="6" t="inlineStr">
        <is>
          <t>шт</t>
        </is>
      </c>
      <c r="F36" s="29" t="n">
        <v>901.7</v>
      </c>
      <c r="G36" s="9">
        <f>H36*(1+Параметры!$C$6)</f>
        <v/>
      </c>
      <c r="H36" s="9">
        <f>IF(OR(D36="",F36=""),0,D36*F36)</f>
        <v/>
      </c>
      <c r="I36" s="9">
        <f>H36*Параметры!$C$6</f>
        <v/>
      </c>
      <c r="J36" s="31" t="n">
        <v>10</v>
      </c>
    </row>
    <row r="37">
      <c r="B37" s="32" t="inlineStr">
        <is>
          <t>Итого прокат</t>
        </is>
      </c>
      <c r="F37" s="32" t="inlineStr">
        <is>
          <t>Прокат — себестоимость:</t>
        </is>
      </c>
      <c r="G37" s="13">
        <f>SUM(G6:G36)</f>
        <v/>
      </c>
      <c r="H37" s="13">
        <f>SUM(H6:H36)</f>
        <v/>
      </c>
      <c r="I37" s="13">
        <f>SUM(I6:I36)</f>
        <v/>
      </c>
    </row>
    <row r="39">
      <c r="B39" s="3" t="inlineStr">
        <is>
          <t>ПЛАЗМА / ЛАЗЕР (до 10 позиций)</t>
        </is>
      </c>
      <c r="C39" s="11" t="n"/>
      <c r="D39" s="11" t="n"/>
      <c r="E39" s="11" t="n"/>
      <c r="F39" s="11" t="n"/>
      <c r="G39" s="11" t="n"/>
      <c r="H39" s="11" t="n"/>
      <c r="I39" s="4" t="n"/>
    </row>
    <row r="41">
      <c r="B41" s="10" t="inlineStr">
        <is>
          <t>Позиция</t>
        </is>
      </c>
      <c r="C41" s="10" t="inlineStr">
        <is>
          <t>Сечение / описание</t>
        </is>
      </c>
      <c r="D41" s="10" t="inlineStr">
        <is>
          <t>Кол-во</t>
        </is>
      </c>
      <c r="E41" s="10" t="inlineStr">
        <is>
          <t>Ед.</t>
        </is>
      </c>
      <c r="F41" s="10" t="inlineStr">
        <is>
          <t>Цена поставщика</t>
        </is>
      </c>
      <c r="G41" s="10" t="inlineStr">
        <is>
          <t>С наценкой менеджера</t>
        </is>
      </c>
      <c r="H41" s="10" t="inlineStr">
        <is>
          <t>Себестоимость</t>
        </is>
      </c>
      <c r="I41" s="10" t="inlineStr">
        <is>
          <t>Наценка менеджера</t>
        </is>
      </c>
    </row>
    <row r="42">
      <c r="B42" s="6" t="n"/>
      <c r="C42" s="6" t="n"/>
      <c r="D42" s="6" t="n">
        <v>0</v>
      </c>
      <c r="E42" s="6" t="inlineStr">
        <is>
          <t>шт</t>
        </is>
      </c>
      <c r="F42" s="29" t="n">
        <v>0</v>
      </c>
      <c r="G42" s="9">
        <f>H42*(1+Параметры!$C$6)</f>
        <v/>
      </c>
      <c r="H42" s="9">
        <f>IF(OR(D42="",F42=""),0,D42*F42)</f>
        <v/>
      </c>
      <c r="I42" s="9">
        <f>H42*Параметры!$C$6</f>
        <v/>
      </c>
    </row>
    <row r="43">
      <c r="B43" s="6" t="n"/>
      <c r="C43" s="6" t="n"/>
      <c r="D43" s="6" t="n">
        <v>0</v>
      </c>
      <c r="E43" s="6" t="inlineStr">
        <is>
          <t>шт</t>
        </is>
      </c>
      <c r="F43" s="29" t="n">
        <v>0</v>
      </c>
      <c r="G43" s="9">
        <f>H43*(1+Параметры!$C$6)</f>
        <v/>
      </c>
      <c r="H43" s="9">
        <f>IF(OR(D43="",F43=""),0,D43*F43)</f>
        <v/>
      </c>
      <c r="I43" s="9">
        <f>H43*Параметры!$C$6</f>
        <v/>
      </c>
    </row>
    <row r="44">
      <c r="B44" s="6" t="n"/>
      <c r="C44" s="6" t="n"/>
      <c r="D44" s="6" t="n">
        <v>0</v>
      </c>
      <c r="E44" s="6" t="inlineStr">
        <is>
          <t>шт</t>
        </is>
      </c>
      <c r="F44" s="29" t="n">
        <v>0</v>
      </c>
      <c r="G44" s="9">
        <f>H44*(1+Параметры!$C$6)</f>
        <v/>
      </c>
      <c r="H44" s="9">
        <f>IF(OR(D44="",F44=""),0,D44*F44)</f>
        <v/>
      </c>
      <c r="I44" s="9">
        <f>H44*Параметры!$C$6</f>
        <v/>
      </c>
    </row>
    <row r="45">
      <c r="B45" s="6" t="n"/>
      <c r="C45" s="6" t="n"/>
      <c r="D45" s="6" t="n">
        <v>0</v>
      </c>
      <c r="E45" s="6" t="inlineStr">
        <is>
          <t>шт</t>
        </is>
      </c>
      <c r="F45" s="29" t="n">
        <v>0</v>
      </c>
      <c r="G45" s="9">
        <f>H45*(1+Параметры!$C$6)</f>
        <v/>
      </c>
      <c r="H45" s="9">
        <f>IF(OR(D45="",F45=""),0,D45*F45)</f>
        <v/>
      </c>
      <c r="I45" s="9">
        <f>H45*Параметры!$C$6</f>
        <v/>
      </c>
    </row>
    <row r="46">
      <c r="B46" s="6" t="n"/>
      <c r="C46" s="6" t="n"/>
      <c r="D46" s="6" t="n">
        <v>0</v>
      </c>
      <c r="E46" s="6" t="inlineStr">
        <is>
          <t>шт</t>
        </is>
      </c>
      <c r="F46" s="29" t="n">
        <v>0</v>
      </c>
      <c r="G46" s="9">
        <f>H46*(1+Параметры!$C$6)</f>
        <v/>
      </c>
      <c r="H46" s="9">
        <f>IF(OR(D46="",F46=""),0,D46*F46)</f>
        <v/>
      </c>
      <c r="I46" s="9">
        <f>H46*Параметры!$C$6</f>
        <v/>
      </c>
    </row>
    <row r="47">
      <c r="B47" s="6" t="n"/>
      <c r="C47" s="6" t="n"/>
      <c r="D47" s="6" t="n">
        <v>0</v>
      </c>
      <c r="E47" s="6" t="inlineStr">
        <is>
          <t>шт</t>
        </is>
      </c>
      <c r="F47" s="29" t="n">
        <v>0</v>
      </c>
      <c r="G47" s="9">
        <f>H47*(1+Параметры!$C$6)</f>
        <v/>
      </c>
      <c r="H47" s="9">
        <f>IF(OR(D47="",F47=""),0,D47*F47)</f>
        <v/>
      </c>
      <c r="I47" s="9">
        <f>H47*Параметры!$C$6</f>
        <v/>
      </c>
    </row>
    <row r="48">
      <c r="B48" s="6" t="n"/>
      <c r="C48" s="6" t="n"/>
      <c r="D48" s="6" t="n">
        <v>0</v>
      </c>
      <c r="E48" s="6" t="inlineStr">
        <is>
          <t>шт</t>
        </is>
      </c>
      <c r="F48" s="29" t="n">
        <v>0</v>
      </c>
      <c r="G48" s="9">
        <f>H48*(1+Параметры!$C$6)</f>
        <v/>
      </c>
      <c r="H48" s="9">
        <f>IF(OR(D48="",F48=""),0,D48*F48)</f>
        <v/>
      </c>
      <c r="I48" s="9">
        <f>H48*Параметры!$C$6</f>
        <v/>
      </c>
    </row>
    <row r="49">
      <c r="B49" s="6" t="n"/>
      <c r="C49" s="6" t="n"/>
      <c r="D49" s="6" t="n">
        <v>0</v>
      </c>
      <c r="E49" s="6" t="inlineStr">
        <is>
          <t>шт</t>
        </is>
      </c>
      <c r="F49" s="29" t="n">
        <v>0</v>
      </c>
      <c r="G49" s="9">
        <f>H49*(1+Параметры!$C$6)</f>
        <v/>
      </c>
      <c r="H49" s="9">
        <f>IF(OR(D49="",F49=""),0,D49*F49)</f>
        <v/>
      </c>
      <c r="I49" s="9">
        <f>H49*Параметры!$C$6</f>
        <v/>
      </c>
    </row>
    <row r="50">
      <c r="B50" s="6" t="n"/>
      <c r="C50" s="6" t="n"/>
      <c r="D50" s="6" t="n">
        <v>0</v>
      </c>
      <c r="E50" s="6" t="inlineStr">
        <is>
          <t>шт</t>
        </is>
      </c>
      <c r="F50" s="29" t="n">
        <v>0</v>
      </c>
      <c r="G50" s="9">
        <f>H50*(1+Параметры!$C$6)</f>
        <v/>
      </c>
      <c r="H50" s="9">
        <f>IF(OR(D50="",F50=""),0,D50*F50)</f>
        <v/>
      </c>
      <c r="I50" s="9">
        <f>H50*Параметры!$C$6</f>
        <v/>
      </c>
    </row>
    <row r="51">
      <c r="B51" s="6" t="n"/>
      <c r="C51" s="6" t="n"/>
      <c r="D51" s="6" t="n">
        <v>0</v>
      </c>
      <c r="E51" s="6" t="inlineStr">
        <is>
          <t>шт</t>
        </is>
      </c>
      <c r="F51" s="29" t="n">
        <v>0</v>
      </c>
      <c r="G51" s="9">
        <f>H51*(1+Параметры!$C$6)</f>
        <v/>
      </c>
      <c r="H51" s="9">
        <f>IF(OR(D51="",F51=""),0,D51*F51)</f>
        <v/>
      </c>
      <c r="I51" s="9">
        <f>H51*Параметры!$C$6</f>
        <v/>
      </c>
    </row>
    <row r="52">
      <c r="F52" t="inlineStr">
        <is>
          <t>ПЛАЗМА / ЛАЗЕР — себестоимость:</t>
        </is>
      </c>
      <c r="G52" s="13">
        <f>SUM(G42:G51)</f>
        <v/>
      </c>
      <c r="H52" s="13">
        <f>SUM(H42:H51)</f>
        <v/>
      </c>
      <c r="I52" s="13">
        <f>SUM(I42:I51)</f>
        <v/>
      </c>
    </row>
    <row r="54">
      <c r="B54" s="3" t="inlineStr">
        <is>
          <t>КОВАНЫЕ ЭЛЕМЕНТЫ / СПЕЦ. ПРОКАТ (до 10 позиций)</t>
        </is>
      </c>
      <c r="C54" s="11" t="n"/>
      <c r="D54" s="11" t="n"/>
      <c r="E54" s="11" t="n"/>
      <c r="F54" s="11" t="n"/>
      <c r="G54" s="11" t="n"/>
      <c r="H54" s="11" t="n"/>
      <c r="I54" s="4" t="n"/>
    </row>
    <row r="56">
      <c r="B56" s="10" t="inlineStr">
        <is>
          <t>Элемент / артикул</t>
        </is>
      </c>
      <c r="C56" s="10" t="inlineStr">
        <is>
          <t>Сечение</t>
        </is>
      </c>
      <c r="D56" s="10" t="inlineStr">
        <is>
          <t>Кол-во</t>
        </is>
      </c>
      <c r="E56" s="10" t="inlineStr">
        <is>
          <t>Ед.</t>
        </is>
      </c>
      <c r="F56" s="10" t="inlineStr">
        <is>
          <t>Цена поставщика</t>
        </is>
      </c>
      <c r="G56" s="10" t="inlineStr">
        <is>
          <t>С наценкой менеджера</t>
        </is>
      </c>
      <c r="H56" s="10" t="inlineStr">
        <is>
          <t>Себестоимость</t>
        </is>
      </c>
      <c r="I56" s="10" t="inlineStr">
        <is>
          <t>Наценка менеджера</t>
        </is>
      </c>
    </row>
    <row r="57">
      <c r="B57" s="6" t="inlineStr">
        <is>
          <t>11.032</t>
        </is>
      </c>
      <c r="C57" s="6" t="inlineStr">
        <is>
          <t>12х6</t>
        </is>
      </c>
      <c r="D57" s="6" t="n">
        <v>0</v>
      </c>
      <c r="E57" s="6" t="inlineStr">
        <is>
          <t>шт</t>
        </is>
      </c>
      <c r="F57" s="29" t="n">
        <v>50</v>
      </c>
      <c r="G57" s="9">
        <f>H57*(1+Параметры!$C$6)</f>
        <v/>
      </c>
      <c r="H57" s="9">
        <f>IF(OR(D57="",F57=""),0,D57*F57)</f>
        <v/>
      </c>
      <c r="I57" s="9">
        <f>H57*Параметры!$C$6</f>
        <v/>
      </c>
    </row>
    <row r="58">
      <c r="B58" s="6" t="inlineStr">
        <is>
          <t>41.401</t>
        </is>
      </c>
      <c r="C58" s="6" t="inlineStr">
        <is>
          <t>12</t>
        </is>
      </c>
      <c r="D58" s="6" t="n">
        <v>0</v>
      </c>
      <c r="E58" s="6" t="inlineStr">
        <is>
          <t>шт</t>
        </is>
      </c>
      <c r="F58" s="29" t="n">
        <v>230</v>
      </c>
      <c r="G58" s="9">
        <f>H58*(1+Параметры!$C$6)</f>
        <v/>
      </c>
      <c r="H58" s="9">
        <f>IF(OR(D58="",F58=""),0,D58*F58)</f>
        <v/>
      </c>
      <c r="I58" s="9">
        <f>H58*Параметры!$C$6</f>
        <v/>
      </c>
    </row>
    <row r="59">
      <c r="B59" s="6" t="n"/>
      <c r="C59" s="6" t="n"/>
      <c r="D59" s="6" t="n">
        <v>0</v>
      </c>
      <c r="E59" s="6" t="inlineStr">
        <is>
          <t>шт</t>
        </is>
      </c>
      <c r="F59" s="29" t="n">
        <v>0</v>
      </c>
      <c r="G59" s="9">
        <f>H59*(1+Параметры!$C$6)</f>
        <v/>
      </c>
      <c r="H59" s="9">
        <f>IF(OR(D59="",F59=""),0,D59*F59)</f>
        <v/>
      </c>
      <c r="I59" s="9">
        <f>H59*Параметры!$C$6</f>
        <v/>
      </c>
    </row>
    <row r="60">
      <c r="B60" s="6" t="n"/>
      <c r="C60" s="6" t="n"/>
      <c r="D60" s="6" t="n">
        <v>0</v>
      </c>
      <c r="E60" s="6" t="inlineStr">
        <is>
          <t>шт</t>
        </is>
      </c>
      <c r="F60" s="29" t="n">
        <v>0</v>
      </c>
      <c r="G60" s="9">
        <f>H60*(1+Параметры!$C$6)</f>
        <v/>
      </c>
      <c r="H60" s="9">
        <f>IF(OR(D60="",F60=""),0,D60*F60)</f>
        <v/>
      </c>
      <c r="I60" s="9">
        <f>H60*Параметры!$C$6</f>
        <v/>
      </c>
    </row>
    <row r="61">
      <c r="B61" s="6" t="n"/>
      <c r="C61" s="6" t="n"/>
      <c r="D61" s="6" t="n">
        <v>0</v>
      </c>
      <c r="E61" s="6" t="inlineStr">
        <is>
          <t>шт</t>
        </is>
      </c>
      <c r="F61" s="29" t="n">
        <v>0</v>
      </c>
      <c r="G61" s="9">
        <f>H61*(1+Параметры!$C$6)</f>
        <v/>
      </c>
      <c r="H61" s="9">
        <f>IF(OR(D61="",F61=""),0,D61*F61)</f>
        <v/>
      </c>
      <c r="I61" s="9">
        <f>H61*Параметры!$C$6</f>
        <v/>
      </c>
    </row>
    <row r="62">
      <c r="B62" s="6" t="n"/>
      <c r="C62" s="6" t="n"/>
      <c r="D62" s="6" t="n">
        <v>0</v>
      </c>
      <c r="E62" s="6" t="inlineStr">
        <is>
          <t>шт</t>
        </is>
      </c>
      <c r="F62" s="29" t="n">
        <v>0</v>
      </c>
      <c r="G62" s="9">
        <f>H62*(1+Параметры!$C$6)</f>
        <v/>
      </c>
      <c r="H62" s="9">
        <f>IF(OR(D62="",F62=""),0,D62*F62)</f>
        <v/>
      </c>
      <c r="I62" s="9">
        <f>H62*Параметры!$C$6</f>
        <v/>
      </c>
    </row>
    <row r="63">
      <c r="B63" s="6" t="n"/>
      <c r="C63" s="6" t="n"/>
      <c r="D63" s="6" t="n">
        <v>0</v>
      </c>
      <c r="E63" s="6" t="inlineStr">
        <is>
          <t>шт</t>
        </is>
      </c>
      <c r="F63" s="29" t="n">
        <v>0</v>
      </c>
      <c r="G63" s="9">
        <f>H63*(1+Параметры!$C$6)</f>
        <v/>
      </c>
      <c r="H63" s="9">
        <f>IF(OR(D63="",F63=""),0,D63*F63)</f>
        <v/>
      </c>
      <c r="I63" s="9">
        <f>H63*Параметры!$C$6</f>
        <v/>
      </c>
    </row>
    <row r="64">
      <c r="B64" s="6" t="n"/>
      <c r="C64" s="6" t="n"/>
      <c r="D64" s="6" t="n">
        <v>0</v>
      </c>
      <c r="E64" s="6" t="inlineStr">
        <is>
          <t>шт</t>
        </is>
      </c>
      <c r="F64" s="29" t="n">
        <v>0</v>
      </c>
      <c r="G64" s="9">
        <f>H64*(1+Параметры!$C$6)</f>
        <v/>
      </c>
      <c r="H64" s="9">
        <f>IF(OR(D64="",F64=""),0,D64*F64)</f>
        <v/>
      </c>
      <c r="I64" s="9">
        <f>H64*Параметры!$C$6</f>
        <v/>
      </c>
    </row>
    <row r="65">
      <c r="B65" s="6" t="n"/>
      <c r="C65" s="6" t="n"/>
      <c r="D65" s="6" t="n">
        <v>0</v>
      </c>
      <c r="E65" s="6" t="inlineStr">
        <is>
          <t>шт</t>
        </is>
      </c>
      <c r="F65" s="29" t="n">
        <v>0</v>
      </c>
      <c r="G65" s="9">
        <f>H65*(1+Параметры!$C$6)</f>
        <v/>
      </c>
      <c r="H65" s="9">
        <f>IF(OR(D65="",F65=""),0,D65*F65)</f>
        <v/>
      </c>
      <c r="I65" s="9">
        <f>H65*Параметры!$C$6</f>
        <v/>
      </c>
    </row>
    <row r="66">
      <c r="B66" s="6" t="n"/>
      <c r="C66" s="6" t="n"/>
      <c r="D66" s="6" t="n">
        <v>0</v>
      </c>
      <c r="E66" s="6" t="inlineStr">
        <is>
          <t>шт</t>
        </is>
      </c>
      <c r="F66" s="29" t="n">
        <v>0</v>
      </c>
      <c r="G66" s="9">
        <f>H66*(1+Параметры!$C$6)</f>
        <v/>
      </c>
      <c r="H66" s="9">
        <f>IF(OR(D66="",F66=""),0,D66*F66)</f>
        <v/>
      </c>
      <c r="I66" s="9">
        <f>H66*Параметры!$C$6</f>
        <v/>
      </c>
    </row>
    <row r="67">
      <c r="F67" t="inlineStr">
        <is>
          <t>КОВАНЫЕ ЭЛЕМЕНТЫ / СПЕЦ. ПРОКАТ — себестоимость:</t>
        </is>
      </c>
      <c r="G67" s="13">
        <f>SUM(G57:G66)</f>
        <v/>
      </c>
      <c r="H67" s="13">
        <f>SUM(H57:H66)</f>
        <v/>
      </c>
      <c r="I67" s="13">
        <f>SUM(I57:I66)</f>
        <v/>
      </c>
    </row>
    <row r="69">
      <c r="B69" s="3" t="inlineStr">
        <is>
          <t>ТОКАРНЫЕ РАБОТЫ (до 10 позиций)</t>
        </is>
      </c>
      <c r="C69" s="11" t="n"/>
      <c r="D69" s="11" t="n"/>
      <c r="E69" s="11" t="n"/>
      <c r="F69" s="11" t="n"/>
      <c r="G69" s="11" t="n"/>
      <c r="H69" s="11" t="n"/>
      <c r="I69" s="4" t="n"/>
    </row>
    <row r="71">
      <c r="B71" s="10" t="inlineStr">
        <is>
          <t>Позиция</t>
        </is>
      </c>
      <c r="C71" s="10" t="inlineStr">
        <is>
          <t>Сечение / описание</t>
        </is>
      </c>
      <c r="D71" s="10" t="inlineStr">
        <is>
          <t>Кол-во</t>
        </is>
      </c>
      <c r="E71" s="10" t="inlineStr">
        <is>
          <t>Ед.</t>
        </is>
      </c>
      <c r="F71" s="10" t="inlineStr">
        <is>
          <t>Цена поставщика</t>
        </is>
      </c>
      <c r="G71" s="10" t="inlineStr">
        <is>
          <t>С наценкой менеджера</t>
        </is>
      </c>
      <c r="H71" s="10" t="inlineStr">
        <is>
          <t>Себестоимость</t>
        </is>
      </c>
      <c r="I71" s="10" t="inlineStr">
        <is>
          <t>Наценка менеджера</t>
        </is>
      </c>
    </row>
    <row r="72">
      <c r="B72" s="6" t="n"/>
      <c r="C72" s="6" t="n"/>
      <c r="D72" s="6" t="n">
        <v>0</v>
      </c>
      <c r="E72" s="6" t="inlineStr">
        <is>
          <t>шт</t>
        </is>
      </c>
      <c r="F72" s="29" t="n">
        <v>0</v>
      </c>
      <c r="G72" s="9">
        <f>H72*(1+Параметры!$C$6)</f>
        <v/>
      </c>
      <c r="H72" s="9">
        <f>IF(OR(D72="",F72=""),0,D72*F72)</f>
        <v/>
      </c>
      <c r="I72" s="9">
        <f>H72*Параметры!$C$6</f>
        <v/>
      </c>
    </row>
    <row r="73">
      <c r="B73" s="6" t="n"/>
      <c r="C73" s="6" t="n"/>
      <c r="D73" s="6" t="n">
        <v>0</v>
      </c>
      <c r="E73" s="6" t="inlineStr">
        <is>
          <t>шт</t>
        </is>
      </c>
      <c r="F73" s="29" t="n">
        <v>0</v>
      </c>
      <c r="G73" s="9">
        <f>H73*(1+Параметры!$C$6)</f>
        <v/>
      </c>
      <c r="H73" s="9">
        <f>IF(OR(D73="",F73=""),0,D73*F73)</f>
        <v/>
      </c>
      <c r="I73" s="9">
        <f>H73*Параметры!$C$6</f>
        <v/>
      </c>
    </row>
    <row r="74">
      <c r="B74" s="6" t="n"/>
      <c r="C74" s="6" t="n"/>
      <c r="D74" s="6" t="n">
        <v>0</v>
      </c>
      <c r="E74" s="6" t="inlineStr">
        <is>
          <t>шт</t>
        </is>
      </c>
      <c r="F74" s="29" t="n">
        <v>0</v>
      </c>
      <c r="G74" s="9">
        <f>H74*(1+Параметры!$C$6)</f>
        <v/>
      </c>
      <c r="H74" s="9">
        <f>IF(OR(D74="",F74=""),0,D74*F74)</f>
        <v/>
      </c>
      <c r="I74" s="9">
        <f>H74*Параметры!$C$6</f>
        <v/>
      </c>
    </row>
    <row r="75">
      <c r="B75" s="6" t="n"/>
      <c r="C75" s="6" t="n"/>
      <c r="D75" s="6" t="n">
        <v>0</v>
      </c>
      <c r="E75" s="6" t="inlineStr">
        <is>
          <t>шт</t>
        </is>
      </c>
      <c r="F75" s="29" t="n">
        <v>0</v>
      </c>
      <c r="G75" s="9">
        <f>H75*(1+Параметры!$C$6)</f>
        <v/>
      </c>
      <c r="H75" s="9">
        <f>IF(OR(D75="",F75=""),0,D75*F75)</f>
        <v/>
      </c>
      <c r="I75" s="9">
        <f>H75*Параметры!$C$6</f>
        <v/>
      </c>
    </row>
    <row r="76">
      <c r="B76" s="6" t="n"/>
      <c r="C76" s="6" t="n"/>
      <c r="D76" s="6" t="n">
        <v>0</v>
      </c>
      <c r="E76" s="6" t="inlineStr">
        <is>
          <t>шт</t>
        </is>
      </c>
      <c r="F76" s="29" t="n">
        <v>0</v>
      </c>
      <c r="G76" s="9">
        <f>H76*(1+Параметры!$C$6)</f>
        <v/>
      </c>
      <c r="H76" s="9">
        <f>IF(OR(D76="",F76=""),0,D76*F76)</f>
        <v/>
      </c>
      <c r="I76" s="9">
        <f>H76*Параметры!$C$6</f>
        <v/>
      </c>
    </row>
    <row r="77">
      <c r="B77" s="6" t="n"/>
      <c r="C77" s="6" t="n"/>
      <c r="D77" s="6" t="n">
        <v>0</v>
      </c>
      <c r="E77" s="6" t="inlineStr">
        <is>
          <t>шт</t>
        </is>
      </c>
      <c r="F77" s="29" t="n">
        <v>0</v>
      </c>
      <c r="G77" s="9">
        <f>H77*(1+Параметры!$C$6)</f>
        <v/>
      </c>
      <c r="H77" s="9">
        <f>IF(OR(D77="",F77=""),0,D77*F77)</f>
        <v/>
      </c>
      <c r="I77" s="9">
        <f>H77*Параметры!$C$6</f>
        <v/>
      </c>
    </row>
    <row r="78">
      <c r="B78" s="6" t="n"/>
      <c r="C78" s="6" t="n"/>
      <c r="D78" s="6" t="n">
        <v>0</v>
      </c>
      <c r="E78" s="6" t="inlineStr">
        <is>
          <t>шт</t>
        </is>
      </c>
      <c r="F78" s="29" t="n">
        <v>0</v>
      </c>
      <c r="G78" s="9">
        <f>H78*(1+Параметры!$C$6)</f>
        <v/>
      </c>
      <c r="H78" s="9">
        <f>IF(OR(D78="",F78=""),0,D78*F78)</f>
        <v/>
      </c>
      <c r="I78" s="9">
        <f>H78*Параметры!$C$6</f>
        <v/>
      </c>
    </row>
    <row r="79">
      <c r="B79" s="6" t="n"/>
      <c r="C79" s="6" t="n"/>
      <c r="D79" s="6" t="n">
        <v>0</v>
      </c>
      <c r="E79" s="6" t="inlineStr">
        <is>
          <t>шт</t>
        </is>
      </c>
      <c r="F79" s="29" t="n">
        <v>0</v>
      </c>
      <c r="G79" s="9">
        <f>H79*(1+Параметры!$C$6)</f>
        <v/>
      </c>
      <c r="H79" s="9">
        <f>IF(OR(D79="",F79=""),0,D79*F79)</f>
        <v/>
      </c>
      <c r="I79" s="9">
        <f>H79*Параметры!$C$6</f>
        <v/>
      </c>
    </row>
    <row r="80">
      <c r="B80" s="6" t="n"/>
      <c r="C80" s="6" t="n"/>
      <c r="D80" s="6" t="n">
        <v>0</v>
      </c>
      <c r="E80" s="6" t="inlineStr">
        <is>
          <t>шт</t>
        </is>
      </c>
      <c r="F80" s="29" t="n">
        <v>0</v>
      </c>
      <c r="G80" s="9">
        <f>H80*(1+Параметры!$C$6)</f>
        <v/>
      </c>
      <c r="H80" s="9">
        <f>IF(OR(D80="",F80=""),0,D80*F80)</f>
        <v/>
      </c>
      <c r="I80" s="9">
        <f>H80*Параметры!$C$6</f>
        <v/>
      </c>
    </row>
    <row r="81">
      <c r="B81" s="6" t="n"/>
      <c r="C81" s="6" t="n"/>
      <c r="D81" s="6" t="n">
        <v>0</v>
      </c>
      <c r="E81" s="6" t="inlineStr">
        <is>
          <t>шт</t>
        </is>
      </c>
      <c r="F81" s="29" t="n">
        <v>0</v>
      </c>
      <c r="G81" s="9">
        <f>H81*(1+Параметры!$C$6)</f>
        <v/>
      </c>
      <c r="H81" s="9">
        <f>IF(OR(D81="",F81=""),0,D81*F81)</f>
        <v/>
      </c>
      <c r="I81" s="9">
        <f>H81*Параметры!$C$6</f>
        <v/>
      </c>
    </row>
    <row r="82">
      <c r="F82" t="inlineStr">
        <is>
          <t>ТОКАРНЫЕ РАБОТЫ — себестоимость:</t>
        </is>
      </c>
      <c r="G82" s="13">
        <f>SUM(G72:G81)</f>
        <v/>
      </c>
      <c r="H82" s="13">
        <f>SUM(H72:H81)</f>
        <v/>
      </c>
      <c r="I82" s="13">
        <f>SUM(I72:I81)</f>
        <v/>
      </c>
    </row>
    <row r="84">
      <c r="B84" s="3" t="inlineStr">
        <is>
          <t>ДОПОЛНИТЕЛЬНЫЕ КОМПЛЕКТУЮЩИЕ (до 10 позиций)</t>
        </is>
      </c>
      <c r="C84" s="11" t="n"/>
      <c r="D84" s="11" t="n"/>
      <c r="E84" s="11" t="n"/>
      <c r="F84" s="11" t="n"/>
      <c r="G84" s="11" t="n"/>
      <c r="H84" s="11" t="n"/>
      <c r="I84" s="4" t="n"/>
    </row>
    <row r="86">
      <c r="B86" s="10" t="inlineStr">
        <is>
          <t>Комплектующая</t>
        </is>
      </c>
      <c r="C86" s="10" t="inlineStr">
        <is>
          <t>Описание / артикул</t>
        </is>
      </c>
      <c r="D86" s="10" t="inlineStr">
        <is>
          <t>Кол-во</t>
        </is>
      </c>
      <c r="E86" s="10" t="inlineStr">
        <is>
          <t>Ед.</t>
        </is>
      </c>
      <c r="F86" s="10" t="inlineStr">
        <is>
          <t>Цена поставщика</t>
        </is>
      </c>
      <c r="G86" s="10" t="inlineStr">
        <is>
          <t>С наценкой менеджера</t>
        </is>
      </c>
      <c r="H86" s="10" t="inlineStr">
        <is>
          <t>Себестоимость</t>
        </is>
      </c>
      <c r="I86" s="10" t="inlineStr">
        <is>
          <t>Наценка менеджера</t>
        </is>
      </c>
    </row>
    <row r="87">
      <c r="B87" s="6" t="n"/>
      <c r="C87" s="6" t="n"/>
      <c r="D87" s="6" t="n">
        <v>0</v>
      </c>
      <c r="E87" s="6" t="inlineStr">
        <is>
          <t>шт</t>
        </is>
      </c>
      <c r="F87" s="29" t="n">
        <v>0</v>
      </c>
      <c r="G87" s="9">
        <f>H87*(1+Параметры!$C$6)</f>
        <v/>
      </c>
      <c r="H87" s="9">
        <f>IF(OR(D87="",F87=""),0,D87*F87)</f>
        <v/>
      </c>
      <c r="I87" s="9">
        <f>H87*Параметры!$C$6</f>
        <v/>
      </c>
    </row>
    <row r="88">
      <c r="B88" s="6" t="n"/>
      <c r="C88" s="6" t="n"/>
      <c r="D88" s="6" t="n">
        <v>0</v>
      </c>
      <c r="E88" s="6" t="inlineStr">
        <is>
          <t>шт</t>
        </is>
      </c>
      <c r="F88" s="29" t="n">
        <v>0</v>
      </c>
      <c r="G88" s="9">
        <f>H88*(1+Параметры!$C$6)</f>
        <v/>
      </c>
      <c r="H88" s="9">
        <f>IF(OR(D88="",F88=""),0,D88*F88)</f>
        <v/>
      </c>
      <c r="I88" s="9">
        <f>H88*Параметры!$C$6</f>
        <v/>
      </c>
    </row>
    <row r="89">
      <c r="B89" s="6" t="n"/>
      <c r="C89" s="6" t="n"/>
      <c r="D89" s="6" t="n">
        <v>0</v>
      </c>
      <c r="E89" s="6" t="inlineStr">
        <is>
          <t>шт</t>
        </is>
      </c>
      <c r="F89" s="29" t="n">
        <v>0</v>
      </c>
      <c r="G89" s="9">
        <f>H89*(1+Параметры!$C$6)</f>
        <v/>
      </c>
      <c r="H89" s="9">
        <f>IF(OR(D89="",F89=""),0,D89*F89)</f>
        <v/>
      </c>
      <c r="I89" s="9">
        <f>H89*Параметры!$C$6</f>
        <v/>
      </c>
    </row>
    <row r="90">
      <c r="B90" s="6" t="n"/>
      <c r="C90" s="6" t="n"/>
      <c r="D90" s="6" t="n">
        <v>0</v>
      </c>
      <c r="E90" s="6" t="inlineStr">
        <is>
          <t>шт</t>
        </is>
      </c>
      <c r="F90" s="29" t="n">
        <v>0</v>
      </c>
      <c r="G90" s="9">
        <f>H90*(1+Параметры!$C$6)</f>
        <v/>
      </c>
      <c r="H90" s="9">
        <f>IF(OR(D90="",F90=""),0,D90*F90)</f>
        <v/>
      </c>
      <c r="I90" s="9">
        <f>H90*Параметры!$C$6</f>
        <v/>
      </c>
    </row>
    <row r="91">
      <c r="B91" s="6" t="n"/>
      <c r="C91" s="6" t="n"/>
      <c r="D91" s="6" t="n">
        <v>0</v>
      </c>
      <c r="E91" s="6" t="inlineStr">
        <is>
          <t>шт</t>
        </is>
      </c>
      <c r="F91" s="29" t="n">
        <v>0</v>
      </c>
      <c r="G91" s="9">
        <f>H91*(1+Параметры!$C$6)</f>
        <v/>
      </c>
      <c r="H91" s="9">
        <f>IF(OR(D91="",F91=""),0,D91*F91)</f>
        <v/>
      </c>
      <c r="I91" s="9">
        <f>H91*Параметры!$C$6</f>
        <v/>
      </c>
    </row>
    <row r="92">
      <c r="B92" s="6" t="n"/>
      <c r="C92" s="6" t="n"/>
      <c r="D92" s="6" t="n">
        <v>0</v>
      </c>
      <c r="E92" s="6" t="inlineStr">
        <is>
          <t>шт</t>
        </is>
      </c>
      <c r="F92" s="29" t="n">
        <v>0</v>
      </c>
      <c r="G92" s="9">
        <f>H92*(1+Параметры!$C$6)</f>
        <v/>
      </c>
      <c r="H92" s="9">
        <f>IF(OR(D92="",F92=""),0,D92*F92)</f>
        <v/>
      </c>
      <c r="I92" s="9">
        <f>H92*Параметры!$C$6</f>
        <v/>
      </c>
    </row>
    <row r="93">
      <c r="B93" s="6" t="n"/>
      <c r="C93" s="6" t="n"/>
      <c r="D93" s="6" t="n">
        <v>0</v>
      </c>
      <c r="E93" s="6" t="inlineStr">
        <is>
          <t>шт</t>
        </is>
      </c>
      <c r="F93" s="29" t="n">
        <v>0</v>
      </c>
      <c r="G93" s="9">
        <f>H93*(1+Параметры!$C$6)</f>
        <v/>
      </c>
      <c r="H93" s="9">
        <f>IF(OR(D93="",F93=""),0,D93*F93)</f>
        <v/>
      </c>
      <c r="I93" s="9">
        <f>H93*Параметры!$C$6</f>
        <v/>
      </c>
    </row>
    <row r="94">
      <c r="B94" s="6" t="n"/>
      <c r="C94" s="6" t="n"/>
      <c r="D94" s="6" t="n">
        <v>0</v>
      </c>
      <c r="E94" s="6" t="inlineStr">
        <is>
          <t>шт</t>
        </is>
      </c>
      <c r="F94" s="29" t="n">
        <v>0</v>
      </c>
      <c r="G94" s="9">
        <f>H94*(1+Параметры!$C$6)</f>
        <v/>
      </c>
      <c r="H94" s="9">
        <f>IF(OR(D94="",F94=""),0,D94*F94)</f>
        <v/>
      </c>
      <c r="I94" s="9">
        <f>H94*Параметры!$C$6</f>
        <v/>
      </c>
    </row>
    <row r="95">
      <c r="B95" s="6" t="n"/>
      <c r="C95" s="6" t="n"/>
      <c r="D95" s="6" t="n">
        <v>0</v>
      </c>
      <c r="E95" s="6" t="inlineStr">
        <is>
          <t>шт</t>
        </is>
      </c>
      <c r="F95" s="29" t="n">
        <v>0</v>
      </c>
      <c r="G95" s="9">
        <f>H95*(1+Параметры!$C$6)</f>
        <v/>
      </c>
      <c r="H95" s="9">
        <f>IF(OR(D95="",F95=""),0,D95*F95)</f>
        <v/>
      </c>
      <c r="I95" s="9">
        <f>H95*Параметры!$C$6</f>
        <v/>
      </c>
    </row>
    <row r="96">
      <c r="B96" s="6" t="n"/>
      <c r="C96" s="6" t="n"/>
      <c r="D96" s="6" t="n">
        <v>0</v>
      </c>
      <c r="E96" s="6" t="inlineStr">
        <is>
          <t>шт</t>
        </is>
      </c>
      <c r="F96" s="29" t="n">
        <v>0</v>
      </c>
      <c r="G96" s="9">
        <f>H96*(1+Параметры!$C$6)</f>
        <v/>
      </c>
      <c r="H96" s="9">
        <f>IF(OR(D96="",F96=""),0,D96*F96)</f>
        <v/>
      </c>
      <c r="I96" s="9">
        <f>H96*Параметры!$C$6</f>
        <v/>
      </c>
    </row>
    <row r="97">
      <c r="F97" t="inlineStr">
        <is>
          <t>ДОПОЛНИТЕЛЬНЫЕ КОМПЛЕКТУЮЩИЕ — себестоимость:</t>
        </is>
      </c>
      <c r="G97" s="13">
        <f>SUM(G87:G96)</f>
        <v/>
      </c>
      <c r="H97" s="13">
        <f>SUM(H87:H96)</f>
        <v/>
      </c>
      <c r="I97" s="13">
        <f>SUM(I87:I96)</f>
        <v/>
      </c>
    </row>
    <row r="99">
      <c r="F99" s="32" t="inlineStr">
        <is>
          <t>ВСЕГО металл — себестоимость:</t>
        </is>
      </c>
      <c r="H99" s="18">
        <f>H37+H52+H67+H82+H97</f>
        <v/>
      </c>
    </row>
    <row r="100">
      <c r="F100" s="32" t="inlineStr">
        <is>
          <t>ВСЕГО наценка менеджера с листа Металл:</t>
        </is>
      </c>
      <c r="H100" s="33">
        <f>I37+I52+I67+I82+I97</f>
        <v/>
      </c>
    </row>
    <row r="102">
      <c r="B102" s="2" t="inlineStr">
        <is>
          <t>Обновление прайса: меняйте жёлтые цены в колонке F. Кол-во D — под заказ. Прокат, плазма, ковка, токарка и комплектующие — с наценкой менеджера. Итоги уходят в Калькуляцию автоматически.</t>
        </is>
      </c>
    </row>
    <row r="103"/>
  </sheetData>
  <autoFilter ref="B5:J36"/>
  <mergeCells count="8">
    <mergeCell ref="B102:J103"/>
    <mergeCell ref="B39:I39"/>
    <mergeCell ref="B69:I69"/>
    <mergeCell ref="B54:I54"/>
    <mergeCell ref="B2:I2"/>
    <mergeCell ref="B3:I3"/>
    <mergeCell ref="B84:I84"/>
    <mergeCell ref="B4:I4"/>
  </mergeCells>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B1:H71"/>
  <sheetViews>
    <sheetView showGridLines="0" workbookViewId="0">
      <selection activeCell="A1" sqref="A1"/>
    </sheetView>
  </sheetViews>
  <sheetFormatPr baseColWidth="8" defaultRowHeight="15"/>
  <cols>
    <col width="3" customWidth="1" min="1" max="1"/>
    <col width="54" customWidth="1" min="2" max="2"/>
    <col width="12" customWidth="1" min="3" max="3"/>
    <col width="12" customWidth="1" min="4" max="4"/>
    <col width="16" customWidth="1" min="5" max="5"/>
    <col width="16" customWidth="1" min="6" max="6"/>
    <col width="18" customWidth="1" min="7" max="7"/>
    <col width="14" customWidth="1" min="8" max="8"/>
  </cols>
  <sheetData>
    <row r="1">
      <c r="B1" s="2" t="inlineStr">
        <is>
          <t>ДЛЯ ВАС: заполните смету и вставьте фото → Файл → Экспорт в PDF (этот лист). Ориентир цены со Сводки справа. Шаблон как ваш PDF Андрей_Светлана_Краснознаменск.</t>
        </is>
      </c>
      <c r="G1" s="2" t="inlineStr">
        <is>
          <t>Ориентир из Сводки (цена КП):</t>
        </is>
      </c>
      <c r="H1" s="13">
        <f>Сводка!D24</f>
        <v/>
      </c>
    </row>
    <row r="3" ht="22" customHeight="1">
      <c r="B3" s="34">
        <f>Параметры!C19&amp;CHAR(10)&amp;Параметры!C20</f>
        <v/>
      </c>
      <c r="D3" s="35" t="inlineStr">
        <is>
          <t>Предложение №:</t>
        </is>
      </c>
      <c r="E3" s="16">
        <f>IF(Сводка!C11="","—",Сводка!C11)</f>
        <v/>
      </c>
      <c r="F3" s="4" t="n"/>
    </row>
    <row r="4" ht="20" customHeight="1">
      <c r="D4" s="35" t="inlineStr">
        <is>
          <t>Дата:</t>
        </is>
      </c>
      <c r="E4" s="36">
        <f>Сводка!C9</f>
        <v/>
      </c>
      <c r="F4" s="4" t="n"/>
    </row>
    <row r="5" ht="20" customHeight="1">
      <c r="D5" s="35" t="inlineStr">
        <is>
          <t>Актуально до:</t>
        </is>
      </c>
      <c r="E5" s="37">
        <f>E4+Параметры!C31</f>
        <v/>
      </c>
      <c r="F5" s="4" t="n"/>
    </row>
    <row r="7">
      <c r="B7" s="12" t="inlineStr">
        <is>
          <t>Клиент:</t>
        </is>
      </c>
      <c r="C7" s="30">
        <f>Сводка!C10</f>
        <v/>
      </c>
      <c r="D7" s="12" t="inlineStr">
        <is>
          <t>Объект:</t>
        </is>
      </c>
      <c r="E7" s="30">
        <f>Сводка!C6</f>
        <v/>
      </c>
      <c r="F7" s="4" t="n"/>
    </row>
    <row r="8">
      <c r="B8" s="12" t="inlineStr">
        <is>
          <t>Изделие:</t>
        </is>
      </c>
      <c r="C8" s="30">
        <f>Сводка!C7</f>
        <v/>
      </c>
      <c r="D8" s="12" t="inlineStr">
        <is>
          <t>Тип:</t>
        </is>
      </c>
      <c r="E8" s="30">
        <f>Сводка!C8</f>
        <v/>
      </c>
      <c r="F8" s="4" t="n"/>
    </row>
    <row r="10">
      <c r="B10" s="38" t="inlineStr">
        <is>
          <t>Визуализация изделия «</t>
        </is>
      </c>
      <c r="C10" s="39">
        <f>Сводка!C7</f>
        <v/>
      </c>
      <c r="D10" s="11" t="n"/>
      <c r="E10" s="4" t="n"/>
    </row>
    <row r="11" ht="28" customHeight="1">
      <c r="B11" s="40" t="inlineStr">
        <is>
          <t>ФОТО / ВИЗУАЛИЗАЦИЯ 1
Вставка → Изображение  или  Ctrl+V</t>
        </is>
      </c>
      <c r="C11" s="41" t="n"/>
      <c r="D11" s="40" t="inlineStr">
        <is>
          <t>ФОТО / ВИЗУАЛИЗАЦИЯ 2
Вставка → Изображение  или  Ctrl+V</t>
        </is>
      </c>
      <c r="E11" s="42" t="n"/>
      <c r="F11" s="41" t="n"/>
    </row>
    <row r="12" ht="28" customHeight="1">
      <c r="B12" s="43" t="n"/>
      <c r="C12" s="44" t="n"/>
      <c r="D12" s="43" t="n"/>
      <c r="F12" s="44" t="n"/>
    </row>
    <row r="13" ht="28" customHeight="1">
      <c r="B13" s="43" t="n"/>
      <c r="C13" s="44" t="n"/>
      <c r="D13" s="43" t="n"/>
      <c r="F13" s="44" t="n"/>
    </row>
    <row r="14" ht="28" customHeight="1">
      <c r="B14" s="43" t="n"/>
      <c r="C14" s="44" t="n"/>
      <c r="D14" s="43" t="n"/>
      <c r="F14" s="44" t="n"/>
    </row>
    <row r="15" ht="28" customHeight="1">
      <c r="B15" s="45" t="n"/>
      <c r="C15" s="46" t="n"/>
      <c r="D15" s="45" t="n"/>
      <c r="E15" s="47" t="n"/>
      <c r="F15" s="46" t="n"/>
    </row>
    <row r="17">
      <c r="B17" s="38" t="inlineStr">
        <is>
          <t>Визуализация изделия «</t>
        </is>
      </c>
      <c r="C17" s="39" t="inlineStr"/>
      <c r="D17" s="48" t="n"/>
      <c r="E17" s="4" t="n"/>
    </row>
    <row r="18" ht="28" customHeight="1">
      <c r="B18" s="40" t="inlineStr">
        <is>
          <t>ФОТО / ВИЗУАЛИЗАЦИЯ 3
Вставка → Изображение</t>
        </is>
      </c>
      <c r="C18" s="41" t="n"/>
      <c r="D18" s="40" t="inlineStr">
        <is>
          <t>ФОТО / ВИЗУАЛИЗАЦИЯ 4
Вставка → Изображение</t>
        </is>
      </c>
      <c r="E18" s="42" t="n"/>
      <c r="F18" s="41" t="n"/>
    </row>
    <row r="19" ht="28" customHeight="1">
      <c r="B19" s="43" t="n"/>
      <c r="C19" s="44" t="n"/>
      <c r="D19" s="43" t="n"/>
      <c r="F19" s="44" t="n"/>
    </row>
    <row r="20" ht="28" customHeight="1">
      <c r="B20" s="43" t="n"/>
      <c r="C20" s="44" t="n"/>
      <c r="D20" s="43" t="n"/>
      <c r="F20" s="44" t="n"/>
    </row>
    <row r="21" ht="28" customHeight="1">
      <c r="B21" s="43" t="n"/>
      <c r="C21" s="44" t="n"/>
      <c r="D21" s="43" t="n"/>
      <c r="F21" s="44" t="n"/>
    </row>
    <row r="22" ht="28" customHeight="1">
      <c r="B22" s="45" t="n"/>
      <c r="C22" s="46" t="n"/>
      <c r="D22" s="45" t="n"/>
      <c r="E22" s="47" t="n"/>
      <c r="F22" s="46" t="n"/>
    </row>
    <row r="24">
      <c r="B24" s="1" t="inlineStr">
        <is>
          <t>Смета работ и материалов</t>
        </is>
      </c>
    </row>
    <row r="25">
      <c r="B25" s="10" t="inlineStr">
        <is>
          <t>Материал / расход / часть</t>
        </is>
      </c>
      <c r="C25" s="10" t="inlineStr">
        <is>
          <t>ед. изм.</t>
        </is>
      </c>
      <c r="D25" s="10" t="inlineStr">
        <is>
          <t>количество</t>
        </is>
      </c>
      <c r="E25" s="10" t="inlineStr">
        <is>
          <t>стоимость за шт</t>
        </is>
      </c>
      <c r="F25" s="10" t="inlineStr">
        <is>
          <t>общее</t>
        </is>
      </c>
    </row>
    <row r="26">
      <c r="B26" s="6" t="n"/>
      <c r="C26" s="6" t="inlineStr">
        <is>
          <t>шт</t>
        </is>
      </c>
      <c r="D26" s="6" t="n">
        <v>0</v>
      </c>
      <c r="E26" s="29" t="n">
        <v>0</v>
      </c>
      <c r="F26" s="9">
        <f>IF(OR(D26="",E26=""),0,D26*E26)</f>
        <v/>
      </c>
    </row>
    <row r="27">
      <c r="B27" s="6" t="n"/>
      <c r="C27" s="6" t="inlineStr">
        <is>
          <t>шт</t>
        </is>
      </c>
      <c r="D27" s="6" t="n">
        <v>0</v>
      </c>
      <c r="E27" s="29" t="n">
        <v>0</v>
      </c>
      <c r="F27" s="9">
        <f>IF(OR(D27="",E27=""),0,D27*E27)</f>
        <v/>
      </c>
    </row>
    <row r="28">
      <c r="B28" s="6" t="n"/>
      <c r="C28" s="6" t="inlineStr">
        <is>
          <t>шт</t>
        </is>
      </c>
      <c r="D28" s="6" t="n">
        <v>0</v>
      </c>
      <c r="E28" s="29" t="n">
        <v>0</v>
      </c>
      <c r="F28" s="9">
        <f>IF(OR(D28="",E28=""),0,D28*E28)</f>
        <v/>
      </c>
    </row>
    <row r="29">
      <c r="B29" s="6" t="n"/>
      <c r="C29" s="6" t="inlineStr">
        <is>
          <t>шт</t>
        </is>
      </c>
      <c r="D29" s="6" t="n">
        <v>0</v>
      </c>
      <c r="E29" s="29" t="n">
        <v>0</v>
      </c>
      <c r="F29" s="9">
        <f>IF(OR(D29="",E29=""),0,D29*E29)</f>
        <v/>
      </c>
    </row>
    <row r="30">
      <c r="B30" s="6" t="n"/>
      <c r="C30" s="6" t="inlineStr">
        <is>
          <t>шт</t>
        </is>
      </c>
      <c r="D30" s="6" t="n">
        <v>0</v>
      </c>
      <c r="E30" s="29" t="n">
        <v>0</v>
      </c>
      <c r="F30" s="9">
        <f>IF(OR(D30="",E30=""),0,D30*E30)</f>
        <v/>
      </c>
    </row>
    <row r="31">
      <c r="B31" s="6" t="n"/>
      <c r="C31" s="6" t="inlineStr">
        <is>
          <t>шт</t>
        </is>
      </c>
      <c r="D31" s="6" t="n">
        <v>0</v>
      </c>
      <c r="E31" s="29" t="n">
        <v>0</v>
      </c>
      <c r="F31" s="9">
        <f>IF(OR(D31="",E31=""),0,D31*E31)</f>
        <v/>
      </c>
    </row>
    <row r="32">
      <c r="B32" s="6" t="n"/>
      <c r="C32" s="6" t="inlineStr">
        <is>
          <t>шт</t>
        </is>
      </c>
      <c r="D32" s="6" t="n">
        <v>0</v>
      </c>
      <c r="E32" s="29" t="n">
        <v>0</v>
      </c>
      <c r="F32" s="9">
        <f>IF(OR(D32="",E32=""),0,D32*E32)</f>
        <v/>
      </c>
    </row>
    <row r="33">
      <c r="B33" s="6" t="n"/>
      <c r="C33" s="6" t="inlineStr">
        <is>
          <t>шт</t>
        </is>
      </c>
      <c r="D33" s="6" t="n">
        <v>0</v>
      </c>
      <c r="E33" s="29" t="n">
        <v>0</v>
      </c>
      <c r="F33" s="9">
        <f>IF(OR(D33="",E33=""),0,D33*E33)</f>
        <v/>
      </c>
    </row>
    <row r="34">
      <c r="B34" s="6" t="n"/>
      <c r="C34" s="6" t="inlineStr">
        <is>
          <t>шт</t>
        </is>
      </c>
      <c r="D34" s="6" t="n">
        <v>0</v>
      </c>
      <c r="E34" s="29" t="n">
        <v>0</v>
      </c>
      <c r="F34" s="9">
        <f>IF(OR(D34="",E34=""),0,D34*E34)</f>
        <v/>
      </c>
    </row>
    <row r="35">
      <c r="B35" s="6" t="n"/>
      <c r="C35" s="6" t="inlineStr">
        <is>
          <t>шт</t>
        </is>
      </c>
      <c r="D35" s="6" t="n">
        <v>0</v>
      </c>
      <c r="E35" s="29" t="n">
        <v>0</v>
      </c>
      <c r="F35" s="9">
        <f>IF(OR(D35="",E35=""),0,D35*E35)</f>
        <v/>
      </c>
    </row>
    <row r="36">
      <c r="B36" s="6" t="n"/>
      <c r="C36" s="6" t="inlineStr">
        <is>
          <t>шт</t>
        </is>
      </c>
      <c r="D36" s="6" t="n">
        <v>0</v>
      </c>
      <c r="E36" s="29" t="n">
        <v>0</v>
      </c>
      <c r="F36" s="9">
        <f>IF(OR(D36="",E36=""),0,D36*E36)</f>
        <v/>
      </c>
    </row>
    <row r="37">
      <c r="B37" s="6" t="n"/>
      <c r="C37" s="6" t="inlineStr">
        <is>
          <t>шт</t>
        </is>
      </c>
      <c r="D37" s="6" t="n">
        <v>0</v>
      </c>
      <c r="E37" s="29" t="n">
        <v>0</v>
      </c>
      <c r="F37" s="9">
        <f>IF(OR(D37="",E37=""),0,D37*E37)</f>
        <v/>
      </c>
    </row>
    <row r="38">
      <c r="B38" s="6" t="n"/>
      <c r="C38" s="6" t="inlineStr">
        <is>
          <t>шт</t>
        </is>
      </c>
      <c r="D38" s="6" t="n">
        <v>0</v>
      </c>
      <c r="E38" s="29" t="n">
        <v>0</v>
      </c>
      <c r="F38" s="9">
        <f>IF(OR(D38="",E38=""),0,D38*E38)</f>
        <v/>
      </c>
    </row>
    <row r="39">
      <c r="B39" s="6" t="n"/>
      <c r="C39" s="6" t="inlineStr">
        <is>
          <t>шт</t>
        </is>
      </c>
      <c r="D39" s="6" t="n">
        <v>0</v>
      </c>
      <c r="E39" s="29" t="n">
        <v>0</v>
      </c>
      <c r="F39" s="9">
        <f>IF(OR(D39="",E39=""),0,D39*E39)</f>
        <v/>
      </c>
    </row>
    <row r="40">
      <c r="B40" s="6" t="n"/>
      <c r="C40" s="6" t="inlineStr">
        <is>
          <t>шт</t>
        </is>
      </c>
      <c r="D40" s="6" t="n">
        <v>0</v>
      </c>
      <c r="E40" s="29" t="n">
        <v>0</v>
      </c>
      <c r="F40" s="9">
        <f>IF(OR(D40="",E40=""),0,D40*E40)</f>
        <v/>
      </c>
    </row>
    <row r="41">
      <c r="B41" s="6" t="n"/>
      <c r="C41" s="6" t="inlineStr">
        <is>
          <t>шт</t>
        </is>
      </c>
      <c r="D41" s="6" t="n">
        <v>0</v>
      </c>
      <c r="E41" s="29" t="n">
        <v>0</v>
      </c>
      <c r="F41" s="9">
        <f>IF(OR(D41="",E41=""),0,D41*E41)</f>
        <v/>
      </c>
    </row>
    <row r="42">
      <c r="B42" s="6" t="n"/>
      <c r="C42" s="6" t="inlineStr">
        <is>
          <t>шт</t>
        </is>
      </c>
      <c r="D42" s="6" t="n">
        <v>0</v>
      </c>
      <c r="E42" s="29" t="n">
        <v>0</v>
      </c>
      <c r="F42" s="9">
        <f>IF(OR(D42="",E42=""),0,D42*E42)</f>
        <v/>
      </c>
    </row>
    <row r="43">
      <c r="B43" s="6" t="n"/>
      <c r="C43" s="6" t="inlineStr">
        <is>
          <t>шт</t>
        </is>
      </c>
      <c r="D43" s="6" t="n">
        <v>0</v>
      </c>
      <c r="E43" s="29" t="n">
        <v>0</v>
      </c>
      <c r="F43" s="9">
        <f>IF(OR(D43="",E43=""),0,D43*E43)</f>
        <v/>
      </c>
    </row>
    <row r="44">
      <c r="B44" s="6" t="n"/>
      <c r="C44" s="6" t="inlineStr">
        <is>
          <t>шт</t>
        </is>
      </c>
      <c r="D44" s="6" t="n">
        <v>0</v>
      </c>
      <c r="E44" s="29" t="n">
        <v>0</v>
      </c>
      <c r="F44" s="9">
        <f>IF(OR(D44="",E44=""),0,D44*E44)</f>
        <v/>
      </c>
    </row>
    <row r="45">
      <c r="B45" s="6" t="n"/>
      <c r="C45" s="6" t="inlineStr">
        <is>
          <t>шт</t>
        </is>
      </c>
      <c r="D45" s="6" t="n">
        <v>0</v>
      </c>
      <c r="E45" s="29" t="n">
        <v>0</v>
      </c>
      <c r="F45" s="9">
        <f>IF(OR(D45="",E45=""),0,D45*E45)</f>
        <v/>
      </c>
    </row>
    <row r="46">
      <c r="B46" s="6" t="n"/>
      <c r="C46" s="6" t="inlineStr">
        <is>
          <t>шт</t>
        </is>
      </c>
      <c r="D46" s="6" t="n">
        <v>0</v>
      </c>
      <c r="E46" s="29" t="n">
        <v>0</v>
      </c>
      <c r="F46" s="9">
        <f>IF(OR(D46="",E46=""),0,D46*E46)</f>
        <v/>
      </c>
    </row>
    <row r="47">
      <c r="B47" s="6" t="n"/>
      <c r="C47" s="6" t="inlineStr">
        <is>
          <t>шт</t>
        </is>
      </c>
      <c r="D47" s="6" t="n">
        <v>0</v>
      </c>
      <c r="E47" s="29" t="n">
        <v>0</v>
      </c>
      <c r="F47" s="9">
        <f>IF(OR(D47="",E47=""),0,D47*E47)</f>
        <v/>
      </c>
    </row>
    <row r="48">
      <c r="B48" s="49" t="inlineStr">
        <is>
          <t>Итого расходы на изготовление (материал, расходники, покраска, доставка)</t>
        </is>
      </c>
      <c r="C48" s="49" t="n"/>
      <c r="D48" s="49" t="n"/>
      <c r="E48" s="49" t="n"/>
      <c r="F48" s="50">
        <f>SUM(F26:F47)</f>
        <v/>
      </c>
    </row>
    <row r="49">
      <c r="B49" s="6" t="inlineStr">
        <is>
          <t>Изготовление конструкции</t>
        </is>
      </c>
      <c r="C49" s="6" t="inlineStr">
        <is>
          <t>ед.</t>
        </is>
      </c>
      <c r="D49" s="6" t="n">
        <v>1</v>
      </c>
      <c r="E49" s="29" t="n">
        <v>0</v>
      </c>
      <c r="F49" s="9">
        <f>D49*E49</f>
        <v/>
      </c>
    </row>
    <row r="50">
      <c r="B50" s="6" t="inlineStr">
        <is>
          <t>Монтаж</t>
        </is>
      </c>
      <c r="C50" s="6" t="inlineStr">
        <is>
          <t>ед.</t>
        </is>
      </c>
      <c r="D50" s="6" t="n">
        <v>1</v>
      </c>
      <c r="E50" s="29" t="n">
        <v>0</v>
      </c>
      <c r="F50" s="9">
        <f>D50*E50</f>
        <v/>
      </c>
    </row>
    <row r="51">
      <c r="B51" s="51" t="inlineStr">
        <is>
          <t>Итого за работу</t>
        </is>
      </c>
      <c r="C51" s="51" t="n"/>
      <c r="D51" s="51" t="n"/>
      <c r="E51" s="51" t="n"/>
      <c r="F51" s="52">
        <f>F49+F50</f>
        <v/>
      </c>
    </row>
    <row r="52">
      <c r="B52" s="53" t="inlineStr">
        <is>
          <t>Итого общая</t>
        </is>
      </c>
      <c r="C52" s="53" t="n"/>
      <c r="D52" s="53" t="n"/>
      <c r="E52" s="53" t="n"/>
      <c r="F52" s="54">
        <f>F48+F51</f>
        <v/>
      </c>
    </row>
    <row r="53">
      <c r="B53" s="55" t="inlineStr">
        <is>
          <t>Проведение через СЗ 4% физ. лицо</t>
        </is>
      </c>
      <c r="C53" s="55" t="n"/>
      <c r="D53" s="55" t="n"/>
      <c r="E53" s="55" t="n"/>
      <c r="F53" s="56">
        <f>F52*1.04</f>
        <v/>
      </c>
    </row>
    <row r="54">
      <c r="B54" s="55" t="inlineStr">
        <is>
          <t>Проведение через СЗ 6% Юр. лицо</t>
        </is>
      </c>
      <c r="C54" s="55" t="n"/>
      <c r="D54" s="55" t="n"/>
      <c r="E54" s="55" t="n"/>
      <c r="F54" s="56">
        <f>F52*1.06</f>
        <v/>
      </c>
    </row>
    <row r="55">
      <c r="B55" s="2" t="inlineStr">
        <is>
          <t>Цены в смете — для заказчика (уже с вашей наценкой). Строки «СЗ 4%/6%» = Итого общая × 1.04 / 1.06, как в вашем PDF. После заполнения отправьте лист в PDF вместо скриншота.</t>
        </is>
      </c>
    </row>
    <row r="57">
      <c r="B57" s="57" t="inlineStr">
        <is>
          <t>Контакты</t>
        </is>
      </c>
      <c r="C57" s="58" t="n"/>
      <c r="D57" s="58" t="n"/>
      <c r="E57" s="59" t="inlineStr">
        <is>
          <t>С уважением,</t>
        </is>
      </c>
      <c r="F57" s="58" t="n"/>
    </row>
    <row r="58">
      <c r="B58" s="60">
        <f>Параметры!C21</f>
        <v/>
      </c>
    </row>
    <row r="59">
      <c r="B59" s="60">
        <f>"Телефон: "&amp;Параметры!C22</f>
        <v/>
      </c>
      <c r="E59" s="32">
        <f>Параметры!C19</f>
        <v/>
      </c>
    </row>
    <row r="60">
      <c r="B60" s="60">
        <f>"Сайт: "&amp;Параметры!C23</f>
        <v/>
      </c>
      <c r="E60" s="60">
        <f>Параметры!C20</f>
        <v/>
      </c>
    </row>
    <row r="61">
      <c r="B61" s="60">
        <f>"Email: "&amp;Параметры!C24</f>
        <v/>
      </c>
    </row>
    <row r="62">
      <c r="B62" s="60">
        <f>"Адрес: "&amp;Параметры!C25</f>
        <v/>
      </c>
      <c r="E62" s="61" t="inlineStr">
        <is>
          <t>Подпись</t>
        </is>
      </c>
      <c r="F62" s="41" t="n"/>
    </row>
    <row r="63">
      <c r="B63" s="60" t="inlineStr">
        <is>
          <t>График работы:</t>
        </is>
      </c>
      <c r="E63" s="43" t="n"/>
      <c r="F63" s="44" t="n"/>
    </row>
    <row r="64">
      <c r="B64" s="60">
        <f>"Пн-Пт: "&amp;Параметры!C26</f>
        <v/>
      </c>
      <c r="E64" s="43" t="n"/>
      <c r="F64" s="44" t="n"/>
    </row>
    <row r="65">
      <c r="B65" s="60">
        <f>"Сб: "&amp;Параметры!C27</f>
        <v/>
      </c>
      <c r="E65" s="45" t="n"/>
      <c r="F65" s="46" t="n"/>
    </row>
    <row r="66">
      <c r="B66" s="60">
        <f>"Вс: "&amp;Параметры!C28</f>
        <v/>
      </c>
    </row>
    <row r="67">
      <c r="B67" s="60" t="inlineStr">
        <is>
          <t>Профиль:</t>
        </is>
      </c>
    </row>
    <row r="68">
      <c r="B68" s="60">
        <f>"Стаж работы: "&amp;Параметры!C29</f>
        <v/>
      </c>
    </row>
    <row r="69">
      <c r="B69" s="60">
        <f>Параметры!C30</f>
        <v/>
      </c>
    </row>
    <row r="71">
      <c r="B71" s="32">
        <f>"Действительно до: "&amp;TEXT(E5,"DD.MM.YYYY")</f>
        <v/>
      </c>
    </row>
  </sheetData>
  <mergeCells count="35">
    <mergeCell ref="B62:C62"/>
    <mergeCell ref="D11:F15"/>
    <mergeCell ref="B59:C59"/>
    <mergeCell ref="B3:C5"/>
    <mergeCell ref="E5:F5"/>
    <mergeCell ref="B66:C66"/>
    <mergeCell ref="B51:E51"/>
    <mergeCell ref="B71:C71"/>
    <mergeCell ref="E8:F8"/>
    <mergeCell ref="B58:C58"/>
    <mergeCell ref="E4:F4"/>
    <mergeCell ref="B67:C67"/>
    <mergeCell ref="B54:E54"/>
    <mergeCell ref="B61:C61"/>
    <mergeCell ref="C17:E17"/>
    <mergeCell ref="B18:C22"/>
    <mergeCell ref="B60:C60"/>
    <mergeCell ref="B1:F1"/>
    <mergeCell ref="B57:C57"/>
    <mergeCell ref="B69:C69"/>
    <mergeCell ref="B11:C15"/>
    <mergeCell ref="D18:F22"/>
    <mergeCell ref="B52:E52"/>
    <mergeCell ref="B48:E48"/>
    <mergeCell ref="E62:F65"/>
    <mergeCell ref="B65:C65"/>
    <mergeCell ref="B68:C68"/>
    <mergeCell ref="B55:F55"/>
    <mergeCell ref="B64:C64"/>
    <mergeCell ref="B24:F24"/>
    <mergeCell ref="B53:E53"/>
    <mergeCell ref="E7:F7"/>
    <mergeCell ref="B63:C63"/>
    <mergeCell ref="E3:F3"/>
    <mergeCell ref="C10:E10"/>
  </mergeCells>
  <pageMargins left="0.4" right="0.4" top="0.4" bottom="0.4" header="0.5" footer="0.5"/>
  <pageSetup orientation="portrait" fitToHeight="0" fitToWidth="1"/>
</worksheet>
</file>

<file path=xl/worksheets/sheet5.xml><?xml version="1.0" encoding="utf-8"?>
<worksheet xmlns="http://schemas.openxmlformats.org/spreadsheetml/2006/main">
  <sheetPr>
    <outlinePr summaryBelow="1" summaryRight="1"/>
    <pageSetUpPr/>
  </sheetPr>
  <dimension ref="B2:F50"/>
  <sheetViews>
    <sheetView workbookViewId="0">
      <selection activeCell="A1" sqref="A1"/>
    </sheetView>
  </sheetViews>
  <sheetFormatPr baseColWidth="8" defaultRowHeight="15"/>
  <cols>
    <col width="3" customWidth="1" min="1" max="1"/>
    <col width="48" customWidth="1" min="2" max="2"/>
    <col width="42" customWidth="1" min="3" max="3"/>
    <col width="28" customWidth="1" min="4" max="4"/>
    <col width="12" customWidth="1" min="5" max="5"/>
    <col width="12" customWidth="1" min="6" max="6"/>
  </cols>
  <sheetData>
    <row r="2">
      <c r="B2" s="1" t="inlineStr">
        <is>
          <t>ПАРАМЕТРЫ РАСЧЁТА</t>
        </is>
      </c>
    </row>
    <row r="3">
      <c r="B3" s="2" t="inlineStr">
        <is>
          <t>Меняйте только жёлтые ячейки. Все калькуляции подтягивают значения отсюда.</t>
        </is>
      </c>
    </row>
    <row r="5">
      <c r="B5" s="10" t="inlineStr">
        <is>
          <t>Параметр</t>
        </is>
      </c>
      <c r="C5" s="10" t="inlineStr">
        <is>
          <t>Значение</t>
        </is>
      </c>
      <c r="D5" s="10" t="inlineStr">
        <is>
          <t>Комментарий</t>
        </is>
      </c>
    </row>
    <row r="6">
      <c r="B6" s="5" t="inlineStr">
        <is>
          <t>Наценка менеджера на закупки</t>
        </is>
      </c>
      <c r="C6" s="62" t="n">
        <v>0.15</v>
      </c>
      <c r="D6" s="63" t="inlineStr">
        <is>
          <t>От цены поставщика. Ваша прибыль как менеджера.</t>
        </is>
      </c>
    </row>
    <row r="7">
      <c r="B7" s="5" t="inlineStr">
        <is>
          <t>Целевая маржа проекта (от выручки)</t>
        </is>
      </c>
      <c r="C7" s="62" t="n">
        <v>0.2</v>
      </c>
      <c r="D7" s="63" t="inlineStr">
        <is>
          <t>Чистая маржа после НПД. Диапазон обычно 10%…30%+.</t>
        </is>
      </c>
    </row>
    <row r="8">
      <c r="B8" s="5" t="inlineStr">
        <is>
          <t>Минимальная допустимая маржа</t>
        </is>
      </c>
      <c r="C8" s="62" t="n">
        <v>0.1</v>
      </c>
      <c r="D8" s="63" t="inlineStr">
        <is>
          <t>Ниже — статус «НИЖЕ МИНИМУМА».</t>
        </is>
      </c>
    </row>
    <row r="9">
      <c r="B9" s="5" t="inlineStr">
        <is>
          <t>Налог НПД (самозанятость)</t>
        </is>
      </c>
      <c r="C9" s="62" t="n">
        <v>0.04</v>
      </c>
      <c r="D9" s="63" t="inlineStr">
        <is>
          <t>4% — физлица, 6% — юрлица/ИП.</t>
        </is>
      </c>
    </row>
    <row r="10">
      <c r="B10" s="5" t="inlineStr">
        <is>
          <t>Аренда, ₽ / рабочий день</t>
        </is>
      </c>
      <c r="C10" s="64" t="n">
        <v>2000</v>
      </c>
      <c r="D10" s="63" t="inlineStr">
        <is>
          <t>Ставка аренды цеха на рабочий день.</t>
        </is>
      </c>
    </row>
    <row r="11">
      <c r="B11" s="5" t="inlineStr">
        <is>
          <t>Рабочих дней в месяце</t>
        </is>
      </c>
      <c r="C11" s="64" t="n">
        <v>22</v>
      </c>
      <c r="D11" s="63" t="inlineStr">
        <is>
          <t>Справочно для пересчёта постоянных расходов.</t>
        </is>
      </c>
    </row>
    <row r="12">
      <c r="B12" s="5" t="inlineStr">
        <is>
          <t>Агентские, % от цены КП</t>
        </is>
      </c>
      <c r="C12" s="62" t="n">
        <v>0</v>
      </c>
      <c r="D12" s="63" t="inlineStr">
        <is>
          <t>Если есть посредник — поставьте %, иначе 0.</t>
        </is>
      </c>
    </row>
    <row r="14">
      <c r="B14" s="32" t="inlineStr">
        <is>
          <t>Авто-коэффициенты</t>
        </is>
      </c>
    </row>
    <row r="15">
      <c r="B15" s="5" t="inlineStr">
        <is>
          <t>Множитель цены при целевой марже</t>
        </is>
      </c>
      <c r="C15" s="65">
        <f>1/(1-C9-C7-C12)</f>
        <v/>
      </c>
      <c r="D15" s="63" t="inlineStr">
        <is>
          <t>Цена КП ≈ Себестоимость × коэффициент</t>
        </is>
      </c>
    </row>
    <row r="16">
      <c r="B16" s="5" t="inlineStr">
        <is>
          <t>Множитель цены при минимальной марже</t>
        </is>
      </c>
      <c r="C16" s="65">
        <f>1/(1-C9-C8-C12)</f>
        <v/>
      </c>
      <c r="D16" s="63" t="n"/>
    </row>
    <row r="18">
      <c r="B18" s="32" t="inlineStr">
        <is>
          <t>БРЕНД И КОНТАКТЫ ДЛЯ КП</t>
        </is>
      </c>
    </row>
    <row r="19">
      <c r="B19" s="5" t="inlineStr">
        <is>
          <t>Имя в шапке КП</t>
        </is>
      </c>
      <c r="C19" s="16" t="inlineStr">
        <is>
          <t>Кузнец Илай Саматов</t>
        </is>
      </c>
      <c r="D19" s="4" t="n"/>
    </row>
    <row r="20">
      <c r="B20" s="5" t="inlineStr">
        <is>
          <t>Подзаголовок</t>
        </is>
      </c>
      <c r="C20" s="16" t="inlineStr">
        <is>
          <t>мастер художественной ковки</t>
        </is>
      </c>
      <c r="D20" s="4" t="n"/>
    </row>
    <row r="21">
      <c r="B21" s="5" t="inlineStr">
        <is>
          <t>ФИО полностью</t>
        </is>
      </c>
      <c r="C21" s="16" t="inlineStr">
        <is>
          <t>Самозанятый Саматов Илай Валерьевич</t>
        </is>
      </c>
      <c r="D21" s="4" t="n"/>
    </row>
    <row r="22">
      <c r="B22" s="5" t="inlineStr">
        <is>
          <t>Телефон</t>
        </is>
      </c>
      <c r="C22" s="16" t="inlineStr">
        <is>
          <t>+7 (952) 058-92-78</t>
        </is>
      </c>
      <c r="D22" s="4" t="n"/>
    </row>
    <row r="23">
      <c r="B23" s="5" t="inlineStr">
        <is>
          <t>Сайт</t>
        </is>
      </c>
      <c r="C23" s="16" t="inlineStr">
        <is>
          <t>Cenzyk.art</t>
        </is>
      </c>
      <c r="D23" s="4" t="n"/>
    </row>
    <row r="24">
      <c r="B24" s="5" t="inlineStr">
        <is>
          <t>Email</t>
        </is>
      </c>
      <c r="C24" s="16" t="inlineStr">
        <is>
          <t>ilja.samatov@yandex.ru</t>
        </is>
      </c>
      <c r="D24" s="4" t="n"/>
    </row>
    <row r="25">
      <c r="B25" s="5" t="inlineStr">
        <is>
          <t>Адрес</t>
        </is>
      </c>
      <c r="C25" s="16" t="inlineStr">
        <is>
          <t>г. Калининград, ул. Ручейная, 2а</t>
        </is>
      </c>
      <c r="D25" s="4" t="n"/>
    </row>
    <row r="26">
      <c r="B26" s="5" t="inlineStr">
        <is>
          <t>График Пн–Пт</t>
        </is>
      </c>
      <c r="C26" s="16" t="inlineStr">
        <is>
          <t>9:00-17:00</t>
        </is>
      </c>
      <c r="D26" s="4" t="n"/>
    </row>
    <row r="27">
      <c r="B27" s="5" t="inlineStr">
        <is>
          <t>График Сб</t>
        </is>
      </c>
      <c r="C27" s="16" t="inlineStr">
        <is>
          <t>10:00-14:00</t>
        </is>
      </c>
      <c r="D27" s="4" t="n"/>
    </row>
    <row r="28">
      <c r="B28" s="5" t="inlineStr">
        <is>
          <t>График Вс</t>
        </is>
      </c>
      <c r="C28" s="16" t="inlineStr">
        <is>
          <t>выходной</t>
        </is>
      </c>
      <c r="D28" s="4" t="n"/>
    </row>
    <row r="29">
      <c r="B29" s="5" t="inlineStr">
        <is>
          <t>Стаж</t>
        </is>
      </c>
      <c r="C29" s="16" t="inlineStr">
        <is>
          <t>11 лет</t>
        </is>
      </c>
      <c r="D29" s="4" t="n"/>
    </row>
    <row r="30">
      <c r="B30" s="5" t="inlineStr">
        <is>
          <t>Профиль (текст)</t>
        </is>
      </c>
      <c r="C30" s="16" t="inlineStr">
        <is>
          <t>Мебель, лестничные и балконные ограждения, элементы декора.</t>
        </is>
      </c>
      <c r="D30" s="4" t="n"/>
    </row>
    <row r="31">
      <c r="B31" s="5" t="inlineStr">
        <is>
          <t>Срок действия КП, дней</t>
        </is>
      </c>
      <c r="C31" s="16" t="n">
        <v>10</v>
      </c>
      <c r="D31" s="4" t="n"/>
    </row>
    <row r="33">
      <c r="B33" s="32" t="inlineStr">
        <is>
          <t>Тип изделия (список для шапки)</t>
        </is>
      </c>
    </row>
    <row r="34">
      <c r="B34" s="5" t="inlineStr">
        <is>
          <t>Ворота</t>
        </is>
      </c>
    </row>
    <row r="35">
      <c r="B35" s="5" t="inlineStr">
        <is>
          <t>Забор</t>
        </is>
      </c>
    </row>
    <row r="36">
      <c r="B36" s="5" t="inlineStr">
        <is>
          <t>Лестница</t>
        </is>
      </c>
    </row>
    <row r="37">
      <c r="B37" s="5" t="inlineStr">
        <is>
          <t>Мебель</t>
        </is>
      </c>
    </row>
    <row r="38">
      <c r="B38" s="5" t="inlineStr">
        <is>
          <t>Интерьер</t>
        </is>
      </c>
    </row>
    <row r="39">
      <c r="B39" s="5" t="inlineStr">
        <is>
          <t>Экстерьер</t>
        </is>
      </c>
    </row>
    <row r="40">
      <c r="B40" s="5" t="inlineStr">
        <is>
          <t>Сувенир</t>
        </is>
      </c>
    </row>
    <row r="41">
      <c r="B41" s="5" t="inlineStr">
        <is>
          <t>Прочее</t>
        </is>
      </c>
    </row>
    <row r="43">
      <c r="B43" s="32" t="inlineStr">
        <is>
          <t>Правило маржи</t>
        </is>
      </c>
    </row>
    <row r="44" ht="110" customHeight="1">
      <c r="B44" s="66" t="inlineStr">
        <is>
          <t>Себестоимость C = реальные выплаты (материалы по цене поставщика, труд, транспорт, аренда, расходники, субподряд).
Наценка менеджера = % только на тип «закупка» — это часть вашей прибыли, не расход.
Цена для целевой маржи P = C / (1 − НПД% − целевая маржа% − агентские%).
Прибыль = P − C − P×НПД − P×агентские.  Маржа % = Прибыль / P.
В листе «Предложение» варианты СЗ 4%/6% считаются как Итого×1.04 / Итого×1.06 — как в вашем PDF.
КАССА — опциональный учёт денег после сделки, на цену КП не влияет.</t>
        </is>
      </c>
    </row>
    <row r="45"/>
    <row r="46"/>
    <row r="47"/>
    <row r="48"/>
    <row r="49"/>
    <row r="50"/>
  </sheetData>
  <mergeCells count="17">
    <mergeCell ref="C20:D20"/>
    <mergeCell ref="B44:F50"/>
    <mergeCell ref="C29:D29"/>
    <mergeCell ref="C21:D21"/>
    <mergeCell ref="C24:D24"/>
    <mergeCell ref="C30:D30"/>
    <mergeCell ref="C25:D25"/>
    <mergeCell ref="C27:D27"/>
    <mergeCell ref="C19:D19"/>
    <mergeCell ref="B3:F3"/>
    <mergeCell ref="C26:D26"/>
    <mergeCell ref="B18:D18"/>
    <mergeCell ref="C28:D28"/>
    <mergeCell ref="C22:D22"/>
    <mergeCell ref="C31:D31"/>
    <mergeCell ref="C23:D23"/>
    <mergeCell ref="B2:D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E47"/>
  <sheetViews>
    <sheetView workbookViewId="0">
      <selection activeCell="A1" sqref="A1"/>
    </sheetView>
  </sheetViews>
  <sheetFormatPr baseColWidth="8" defaultRowHeight="15"/>
  <cols>
    <col width="3" customWidth="1" min="1" max="1"/>
    <col width="14" customWidth="1" min="2" max="2"/>
    <col width="48" customWidth="1" min="3" max="3"/>
    <col width="16" customWidth="1" min="4" max="4"/>
    <col width="14" customWidth="1" min="5" max="5"/>
  </cols>
  <sheetData>
    <row r="2">
      <c r="B2" s="1" t="inlineStr">
        <is>
          <t>КАССА ЗАКАЗА — опционально (после сделки)</t>
        </is>
      </c>
    </row>
    <row r="3" ht="20" customHeight="1">
      <c r="B3" s="67" t="inlineStr">
        <is>
          <t>ЭТОТ ЛИСТ НЕ УЧАСТВУЕТ В РАСЧЁТЕ ЦЕНЫ И МАРЖИ.
Нужен только чтобы помнить: сколько клиент уже заплатил и сколько вы уже потратили по заказу.
Если считаете только КП — этот лист можно полностью игнорировать.
Связь со Сводкой: одна — подтягивает «Цену КП» (сколько договорились), чтобы показать остаток к получению.
Обратно в Сводку / Калькуляцию / Металл касса НИЧЕГО не отправляет.</t>
        </is>
      </c>
    </row>
    <row r="4" ht="18" customHeight="1"/>
    <row r="5" ht="18" customHeight="1"/>
    <row r="6" ht="18" customHeight="1"/>
    <row r="7" ht="18" customHeight="1"/>
    <row r="9">
      <c r="B9" s="3" t="inlineStr">
        <is>
          <t>1) СКОЛЬКО ПОЛУЧИЛИ ОТ КЛИЕНТА</t>
        </is>
      </c>
      <c r="C9" s="11" t="n"/>
      <c r="D9" s="4" t="n"/>
    </row>
    <row r="10">
      <c r="B10" s="10" t="inlineStr">
        <is>
          <t>Дата</t>
        </is>
      </c>
      <c r="C10" s="10" t="inlineStr">
        <is>
          <t>Что за платёж</t>
        </is>
      </c>
      <c r="D10" s="10" t="inlineStr">
        <is>
          <t>Сумма</t>
        </is>
      </c>
    </row>
    <row r="11">
      <c r="B11" s="6" t="n"/>
      <c r="C11" s="6" t="n"/>
      <c r="D11" s="29" t="n"/>
    </row>
    <row r="12">
      <c r="B12" s="6" t="n"/>
      <c r="C12" s="6" t="n"/>
      <c r="D12" s="29" t="n"/>
    </row>
    <row r="13">
      <c r="B13" s="6" t="n"/>
      <c r="C13" s="6" t="n"/>
      <c r="D13" s="29" t="n"/>
    </row>
    <row r="14">
      <c r="B14" s="6" t="n"/>
      <c r="C14" s="6" t="n"/>
      <c r="D14" s="29" t="n"/>
    </row>
    <row r="15">
      <c r="B15" s="6" t="n"/>
      <c r="C15" s="6" t="n"/>
      <c r="D15" s="29" t="n"/>
    </row>
    <row r="16">
      <c r="C16" t="inlineStr">
        <is>
          <t>Всего получено:</t>
        </is>
      </c>
      <c r="D16" s="13">
        <f>SUM(D11:D15)</f>
        <v/>
      </c>
    </row>
    <row r="17">
      <c r="C17" t="inlineStr">
        <is>
          <t>Цена КП (из Сводки, только для справки):</t>
        </is>
      </c>
      <c r="D17" s="9">
        <f>Сводка!D24</f>
        <v/>
      </c>
    </row>
    <row r="18">
      <c r="C18" t="inlineStr">
        <is>
          <t>Ещё должен клиент:</t>
        </is>
      </c>
      <c r="D18" s="68">
        <f>D17-D16</f>
        <v/>
      </c>
    </row>
    <row r="20">
      <c r="B20" s="3" t="inlineStr">
        <is>
          <t>2) СКОЛЬКО УЖЕ ВЫПЛАТИЛИ ПО ЗАКАЗУ</t>
        </is>
      </c>
      <c r="C20" s="11" t="n"/>
      <c r="D20" s="4" t="n"/>
    </row>
    <row r="21">
      <c r="B21" s="10" t="inlineStr">
        <is>
          <t>Дата</t>
        </is>
      </c>
      <c r="C21" s="10" t="inlineStr">
        <is>
          <t>Кому / за что</t>
        </is>
      </c>
      <c r="D21" s="10" t="inlineStr">
        <is>
          <t>Сумма</t>
        </is>
      </c>
    </row>
    <row r="22">
      <c r="B22" s="6" t="n"/>
      <c r="C22" s="6" t="n"/>
      <c r="D22" s="29" t="n"/>
    </row>
    <row r="23">
      <c r="B23" s="6" t="n"/>
      <c r="C23" s="6" t="n"/>
      <c r="D23" s="29" t="n"/>
    </row>
    <row r="24">
      <c r="B24" s="6" t="n"/>
      <c r="C24" s="6" t="n"/>
      <c r="D24" s="29" t="n"/>
    </row>
    <row r="25">
      <c r="B25" s="6" t="n"/>
      <c r="C25" s="6" t="n"/>
      <c r="D25" s="29" t="n"/>
    </row>
    <row r="26">
      <c r="B26" s="6" t="n"/>
      <c r="C26" s="6" t="n"/>
      <c r="D26" s="29" t="n"/>
    </row>
    <row r="27">
      <c r="B27" s="6" t="n"/>
      <c r="C27" s="6" t="n"/>
      <c r="D27" s="29" t="n"/>
    </row>
    <row r="28">
      <c r="B28" s="6" t="n"/>
      <c r="C28" s="6" t="n"/>
      <c r="D28" s="29" t="n"/>
    </row>
    <row r="29">
      <c r="B29" s="6" t="n"/>
      <c r="C29" s="6" t="n"/>
      <c r="D29" s="29" t="n"/>
    </row>
    <row r="30">
      <c r="B30" s="6" t="n"/>
      <c r="C30" s="6" t="n"/>
      <c r="D30" s="29" t="n"/>
    </row>
    <row r="31">
      <c r="B31" s="6" t="n"/>
      <c r="C31" s="6" t="n"/>
      <c r="D31" s="29" t="n"/>
    </row>
    <row r="32">
      <c r="B32" s="6" t="n"/>
      <c r="C32" s="6" t="n"/>
      <c r="D32" s="29" t="n"/>
    </row>
    <row r="33">
      <c r="B33" s="6" t="n"/>
      <c r="C33" s="6" t="n"/>
      <c r="D33" s="29" t="n"/>
    </row>
    <row r="34">
      <c r="B34" s="6" t="n"/>
      <c r="C34" s="6" t="n"/>
      <c r="D34" s="29" t="n"/>
    </row>
    <row r="35">
      <c r="B35" s="6" t="n"/>
      <c r="C35" s="6" t="n"/>
      <c r="D35" s="29" t="n"/>
    </row>
    <row r="36">
      <c r="B36" s="6" t="n"/>
      <c r="C36" s="6" t="n"/>
      <c r="D36" s="29" t="n"/>
    </row>
    <row r="37">
      <c r="B37" s="6" t="n"/>
      <c r="C37" s="6" t="n"/>
      <c r="D37" s="29" t="n"/>
    </row>
    <row r="38">
      <c r="B38" s="6" t="n"/>
      <c r="C38" s="6" t="n"/>
      <c r="D38" s="29" t="n"/>
    </row>
    <row r="39">
      <c r="B39" s="6" t="n"/>
      <c r="C39" s="6" t="n"/>
      <c r="D39" s="29" t="n"/>
    </row>
    <row r="40">
      <c r="B40" s="6" t="n"/>
      <c r="C40" s="6" t="n"/>
      <c r="D40" s="29" t="n"/>
    </row>
    <row r="41">
      <c r="B41" s="6" t="n"/>
      <c r="C41" s="6" t="n"/>
      <c r="D41" s="29" t="n"/>
    </row>
    <row r="43">
      <c r="C43" t="inlineStr">
        <is>
          <t>Всего выплат:</t>
        </is>
      </c>
      <c r="D43" s="13">
        <f>SUM(D22:D41)</f>
        <v/>
      </c>
    </row>
    <row r="44">
      <c r="C44" t="inlineStr">
        <is>
          <t>Живые деньги по заказу сейчас (получено − выплаты):</t>
        </is>
      </c>
      <c r="D44" s="18">
        <f>D16-D43</f>
        <v/>
      </c>
    </row>
    <row r="46">
      <c r="B46" s="2" t="inlineStr">
        <is>
          <t>Пример: КП 100 000, аванс 50 000, купили металл 20 000 → получено 50 000, выплат 20 000, в кассе заказа 30 000. Прибыль при этом смотрите на Сводке, не здесь.</t>
        </is>
      </c>
    </row>
    <row r="47"/>
  </sheetData>
  <mergeCells count="5">
    <mergeCell ref="B46:E47"/>
    <mergeCell ref="B3:E7"/>
    <mergeCell ref="B9:D9"/>
    <mergeCell ref="B2:E2"/>
    <mergeCell ref="B20:D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B2:B20"/>
  <sheetViews>
    <sheetView workbookViewId="0">
      <selection activeCell="A1" sqref="A1"/>
    </sheetView>
  </sheetViews>
  <sheetFormatPr baseColWidth="8" defaultRowHeight="15"/>
  <cols>
    <col width="3" customWidth="1" min="1" max="1"/>
    <col width="120" customWidth="1" min="2" max="2"/>
  </cols>
  <sheetData>
    <row r="2">
      <c r="B2" s="1" t="inlineStr">
        <is>
          <t>Как работать с файлом</t>
        </is>
      </c>
    </row>
    <row r="4">
      <c r="B4" s="32" t="inlineStr">
        <is>
          <t>ГЛАВНЫЙ КОНТУР (для цены КП):</t>
        </is>
      </c>
    </row>
    <row r="5">
      <c r="B5" s="60" t="inlineStr">
        <is>
          <t>1. «Параметры» — % менеджера, целевая/мин. маржа, НПД, аренда/день.</t>
        </is>
      </c>
    </row>
    <row r="6">
      <c r="B6" s="60" t="inlineStr">
        <is>
          <t>2. «Металл» — кол-во штанг проката (шт = 6 м), плюс плазма/ковка/токарка/комплектующие. На все эти блоки — наценка менеджера.</t>
        </is>
      </c>
    </row>
    <row r="7">
      <c r="B7" s="60" t="inlineStr">
        <is>
          <t>3. «Калькуляция» — количества по этапам (дни, рейсы, материалы).</t>
        </is>
      </c>
    </row>
    <row r="8">
      <c r="B8" s="60" t="inlineStr">
        <is>
          <t>4. «Сводка» — смотрите рекомендуемую цену, впишите цену КП в жёлтую ячейку, проверьте статус.</t>
        </is>
      </c>
    </row>
    <row r="9">
      <c r="B9" s="60" t="inlineStr">
        <is>
          <t>5. «Предложение» — текст и фото для клиента; суммы разделов и итог подтянутся сами. Затем Экспорт в PDF.</t>
        </is>
      </c>
    </row>
    <row r="10">
      <c r="B10" s="60" t="inlineStr"/>
    </row>
    <row r="11">
      <c r="B11" s="32" t="inlineStr">
        <is>
          <t>ВМЕСТО СКРИНШОТА:</t>
        </is>
      </c>
    </row>
    <row r="12">
      <c r="B12" s="60" t="inlineStr">
        <is>
          <t>• Откройте лист «Предложение» → Файл → Экспорт в PDF (или Печать → PDF).</t>
        </is>
      </c>
    </row>
    <row r="13">
      <c r="B13" s="60" t="inlineStr">
        <is>
          <t>• Отправьте PDF в WhatsApp / Telegram / почту — выглядит аккуратнее скриншота.</t>
        </is>
      </c>
    </row>
    <row r="14">
      <c r="B14" s="60" t="inlineStr"/>
    </row>
    <row r="15">
      <c r="B15" s="32" t="inlineStr">
        <is>
          <t>КАССА — НЕ ДЛЯ РАСЧЁТА ЦЕНЫ:</t>
        </is>
      </c>
    </row>
    <row r="16">
      <c r="B16" s="60" t="inlineStr">
        <is>
          <t>• Нужна после сделки: авансы клиента и факт выплат (металл, ЗП, транспорт).</t>
        </is>
      </c>
    </row>
    <row r="17">
      <c r="B17" s="60" t="inlineStr">
        <is>
          <t>• Пока готовите КП — лист Касса можно не открывать.</t>
        </is>
      </c>
    </row>
    <row r="18">
      <c r="B18" s="60" t="inlineStr"/>
    </row>
    <row r="19">
      <c r="B19" s="60" t="inlineStr">
        <is>
          <t>Типы изделий: Ворота, Забор, Лестница, Мебель, Интерьер, Экстерьер, Сувенир, Прочее.</t>
        </is>
      </c>
    </row>
    <row r="20">
      <c r="B20" s="60" t="inlineStr">
        <is>
          <t>В шапке Сводки: Клиент + № клиента.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2026-08-09T22:12:05Z</dcterms:created>
  <dcterms:modified xsi:type="dcterms:W3CDTF">2026-08-09T22:12:05Z</dcterms:modified>
</cp:coreProperties>
</file>