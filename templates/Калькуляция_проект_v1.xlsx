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араметры" sheetId="4" state="visible" r:id="rId4"/>
    <sheet name="Касса" sheetId="5" state="visible" r:id="rId5"/>
    <sheet name="Инструкция" sheetId="6" state="visible" r:id="rId6"/>
  </sheets>
  <definedNames>
    <definedName name="_xlnm._FilterDatabase" localSheetId="1" hidden="1">'Калькуляция'!$B$15:$L$114</definedName>
    <definedName name="_xlnm._FilterDatabase" localSheetId="2" hidden="1">'Металл'!$B$5:$J$36</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DD.MM.YYYY"/>
    <numFmt numFmtId="167" formatCode="#,##0.00&quot; ₽&quot;"/>
    <numFmt numFmtId="168" formatCode="0.0"/>
  </numFmts>
  <fonts count="8">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s>
  <fills count="9">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164" fontId="4" fillId="4" borderId="1" pivotButton="0" quotePrefix="0" xfId="0"/>
    <xf numFmtId="0" fontId="2" fillId="0"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xf numFmtId="0" fontId="6" fillId="0" borderId="0"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Параметры!$B$19:$B$26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6"/>
  <sheetViews>
    <sheetView workbookViewId="0">
      <pane xSplit="1" ySplit="15" topLeftCell="B1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услуга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услуга</t>
        </is>
      </c>
      <c r="E39" s="28">
        <f>Металл!H82</f>
        <v/>
      </c>
      <c r="F39" s="30" t="n">
        <v>1</v>
      </c>
      <c r="G39" s="6" t="inlineStr">
        <is>
          <t>сводка</t>
        </is>
      </c>
      <c r="H39" s="28">
        <f>IF(OR(E39="",F39=""),0,E39*F39)</f>
        <v/>
      </c>
      <c r="I39" s="28">
        <f>IF(D39="закупка",H39*Параметры!$C$6,0)</f>
        <v/>
      </c>
      <c r="J39" s="28">
        <f>H39+I39</f>
        <v/>
      </c>
      <c r="L39" s="6" t="inlineStr"/>
    </row>
    <row r="40">
      <c r="B40" s="26" t="inlineStr">
        <is>
          <t>4. Производство</t>
        </is>
      </c>
      <c r="C40" s="26" t="n"/>
      <c r="D40" s="26" t="n"/>
      <c r="E40" s="26" t="n"/>
      <c r="F40" s="26" t="n"/>
      <c r="G40" s="26" t="n"/>
      <c r="H40" s="26" t="n"/>
      <c r="I40" s="26" t="n"/>
      <c r="J40" s="26" t="n"/>
      <c r="L40" s="26" t="n"/>
    </row>
    <row r="41">
      <c r="B41" s="27" t="inlineStr">
        <is>
          <t>Производство</t>
        </is>
      </c>
      <c r="C41" s="6" t="inlineStr">
        <is>
          <t>Аренда цеха</t>
        </is>
      </c>
      <c r="D41" s="6" t="inlineStr">
        <is>
          <t>аренда</t>
        </is>
      </c>
      <c r="E41" s="28">
        <f>Параметры!$C$10</f>
        <v/>
      </c>
      <c r="F41" s="6" t="n">
        <v>0</v>
      </c>
      <c r="G41" s="6" t="inlineStr">
        <is>
          <t>день</t>
        </is>
      </c>
      <c r="H41" s="28">
        <f>IF(OR(E41="",F41=""),0,E41*F41)</f>
        <v/>
      </c>
      <c r="I41" s="28">
        <f>IF(D41="закупка",H41*Параметры!$C$6,0)</f>
        <v/>
      </c>
      <c r="J41" s="28">
        <f>H41+I41</f>
        <v/>
      </c>
      <c r="L41" s="6" t="inlineStr">
        <is>
          <t>Ставка аренды из Параметры</t>
        </is>
      </c>
    </row>
    <row r="42">
      <c r="B42" s="27" t="inlineStr">
        <is>
          <t>Производство</t>
        </is>
      </c>
      <c r="C42" s="6" t="inlineStr">
        <is>
          <t>Оплата труда: мастер</t>
        </is>
      </c>
      <c r="D42" s="6" t="inlineStr">
        <is>
          <t>труд</t>
        </is>
      </c>
      <c r="E42" s="29" t="n">
        <v>6000</v>
      </c>
      <c r="F42" s="6" t="n">
        <v>0</v>
      </c>
      <c r="G42" s="6" t="inlineStr">
        <is>
          <t>день</t>
        </is>
      </c>
      <c r="H42" s="28">
        <f>IF(OR(E42="",F42=""),0,E42*F42)</f>
        <v/>
      </c>
      <c r="I42" s="28">
        <f>IF(D42="закупка",H42*Параметры!$C$6,0)</f>
        <v/>
      </c>
      <c r="J42" s="28">
        <f>H42+I42</f>
        <v/>
      </c>
      <c r="L42" s="6" t="inlineStr">
        <is>
          <t>ФИО в примечании</t>
        </is>
      </c>
    </row>
    <row r="43">
      <c r="B43" s="27" t="inlineStr">
        <is>
          <t>Производство</t>
        </is>
      </c>
      <c r="C43" s="6" t="inlineStr">
        <is>
          <t>Оплата труда: рабочий</t>
        </is>
      </c>
      <c r="D43" s="6" t="inlineStr">
        <is>
          <t>труд</t>
        </is>
      </c>
      <c r="E43" s="29" t="n">
        <v>4000</v>
      </c>
      <c r="F43" s="6" t="n">
        <v>0</v>
      </c>
      <c r="G43" s="6" t="inlineStr">
        <is>
          <t>день</t>
        </is>
      </c>
      <c r="H43" s="28">
        <f>IF(OR(E43="",F43=""),0,E43*F43)</f>
        <v/>
      </c>
      <c r="I43" s="28">
        <f>IF(D43="закупка",H43*Параметры!$C$6,0)</f>
        <v/>
      </c>
      <c r="J43" s="28">
        <f>H43+I43</f>
        <v/>
      </c>
      <c r="L43" s="6" t="inlineStr"/>
    </row>
    <row r="44">
      <c r="B44" s="27" t="inlineStr">
        <is>
          <t>Производство</t>
        </is>
      </c>
      <c r="C44" s="6" t="inlineStr">
        <is>
          <t>Оплата труда: доп.1</t>
        </is>
      </c>
      <c r="D44" s="6" t="inlineStr">
        <is>
          <t>труд</t>
        </is>
      </c>
      <c r="E44" s="29" t="n">
        <v>6000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доп.2</t>
        </is>
      </c>
      <c r="D45" s="6" t="inlineStr">
        <is>
          <t>труд</t>
        </is>
      </c>
      <c r="E45" s="29" t="n">
        <v>4000</v>
      </c>
      <c r="F45" s="6" t="n">
        <v>0</v>
      </c>
      <c r="G45" s="6" t="inlineStr">
        <is>
          <t>день</t>
        </is>
      </c>
      <c r="H45" s="28">
        <f>IF(OR(E45="",F45=""),0,E45*F45)</f>
        <v/>
      </c>
      <c r="I45" s="28">
        <f>IF(D45="закупка",H45*Параметры!$C$6,0)</f>
        <v/>
      </c>
      <c r="J45" s="28">
        <f>H45+I45</f>
        <v/>
      </c>
      <c r="L45" s="6" t="inlineStr"/>
    </row>
    <row r="46">
      <c r="B46" s="26" t="inlineStr">
        <is>
          <t>5. Предмонтаж</t>
        </is>
      </c>
      <c r="C46" s="26" t="n"/>
      <c r="D46" s="26" t="n"/>
      <c r="E46" s="26" t="n"/>
      <c r="F46" s="26" t="n"/>
      <c r="G46" s="26" t="n"/>
      <c r="H46" s="26" t="n"/>
      <c r="I46" s="26" t="n"/>
      <c r="J46" s="26" t="n"/>
      <c r="L46" s="26" t="n"/>
    </row>
    <row r="47">
      <c r="B47" s="27" t="inlineStr">
        <is>
          <t>Предмонтаж</t>
        </is>
      </c>
      <c r="C47" s="6" t="inlineStr">
        <is>
          <t>Аренда</t>
        </is>
      </c>
      <c r="D47" s="6" t="inlineStr">
        <is>
          <t>аренда</t>
        </is>
      </c>
      <c r="E47" s="28">
        <f>Параметры!$C$10</f>
        <v/>
      </c>
      <c r="F47" s="6" t="n">
        <v>0</v>
      </c>
      <c r="G47" s="6" t="inlineStr">
        <is>
          <t>день</t>
        </is>
      </c>
      <c r="H47" s="28">
        <f>IF(OR(E47="",F47=""),0,E47*F47)</f>
        <v/>
      </c>
      <c r="I47" s="28">
        <f>IF(D47="закупка",H47*Параметры!$C$6,0)</f>
        <v/>
      </c>
      <c r="J47" s="28">
        <f>H47+I47</f>
        <v/>
      </c>
      <c r="L47" s="6" t="inlineStr">
        <is>
          <t>Ставка аренды из Параметры</t>
        </is>
      </c>
    </row>
    <row r="48">
      <c r="B48" s="27" t="inlineStr">
        <is>
          <t>Предмонтаж</t>
        </is>
      </c>
      <c r="C48" s="6" t="inlineStr">
        <is>
          <t>Монтажники</t>
        </is>
      </c>
      <c r="D48" s="6" t="inlineStr">
        <is>
          <t>труд</t>
        </is>
      </c>
      <c r="E48" s="29" t="n">
        <v>7300</v>
      </c>
      <c r="F48" s="6" t="n">
        <v>0</v>
      </c>
      <c r="G48" s="6" t="inlineStr">
        <is>
          <t>день</t>
        </is>
      </c>
      <c r="H48" s="28">
        <f>IF(OR(E48="",F48=""),0,E48*F48)</f>
        <v/>
      </c>
      <c r="I48" s="28">
        <f>IF(D48="закупка",H48*Параметры!$C$6,0)</f>
        <v/>
      </c>
      <c r="J48" s="28">
        <f>H48+I48</f>
        <v/>
      </c>
      <c r="L48" s="6" t="inlineStr"/>
    </row>
    <row r="49">
      <c r="B49" s="27" t="inlineStr">
        <is>
          <t>Предмонтаж</t>
        </is>
      </c>
      <c r="C49" s="6" t="inlineStr">
        <is>
          <t>Помощник</t>
        </is>
      </c>
      <c r="D49" s="6" t="inlineStr">
        <is>
          <t>труд</t>
        </is>
      </c>
      <c r="E49" s="29" t="n">
        <v>5000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Транспорт цех → объект</t>
        </is>
      </c>
      <c r="D50" s="6" t="inlineStr">
        <is>
          <t>транспорт</t>
        </is>
      </c>
      <c r="E50" s="29" t="n">
        <v>2000</v>
      </c>
      <c r="F50" s="6" t="n">
        <v>0</v>
      </c>
      <c r="G50" s="6" t="inlineStr">
        <is>
          <t>рейс</t>
        </is>
      </c>
      <c r="H50" s="28">
        <f>IF(OR(E50="",F50=""),0,E50*F50)</f>
        <v/>
      </c>
      <c r="I50" s="28">
        <f>IF(D50="закупка",H50*Параметры!$C$6,0)</f>
        <v/>
      </c>
      <c r="J50" s="28">
        <f>H50+I50</f>
        <v/>
      </c>
      <c r="L50" s="6" t="inlineStr"/>
    </row>
    <row r="51">
      <c r="B51" s="27" t="inlineStr">
        <is>
          <t>Предмонтаж</t>
        </is>
      </c>
      <c r="C51" s="6" t="inlineStr">
        <is>
          <t>Транспорт объект → цех</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Такси</t>
        </is>
      </c>
      <c r="D52" s="6" t="inlineStr">
        <is>
          <t>транспорт</t>
        </is>
      </c>
      <c r="E52" s="29" t="n">
        <v>1500</v>
      </c>
      <c r="F52" s="6" t="n">
        <v>0</v>
      </c>
      <c r="G52" s="6" t="inlineStr">
        <is>
          <t>поездка</t>
        </is>
      </c>
      <c r="H52" s="28">
        <f>IF(OR(E52="",F52=""),0,E52*F52)</f>
        <v/>
      </c>
      <c r="I52" s="28">
        <f>IF(D52="закупка",H52*Параметры!$C$6,0)</f>
        <v/>
      </c>
      <c r="J52" s="28">
        <f>H52+I52</f>
        <v/>
      </c>
      <c r="L52" s="6" t="inlineStr"/>
    </row>
    <row r="53">
      <c r="B53" s="26" t="inlineStr">
        <is>
          <t>6. Покраска эмалью</t>
        </is>
      </c>
      <c r="C53" s="26" t="n"/>
      <c r="D53" s="26" t="n"/>
      <c r="E53" s="26" t="n"/>
      <c r="F53" s="26" t="n"/>
      <c r="G53" s="26" t="n"/>
      <c r="H53" s="26" t="n"/>
      <c r="I53" s="26" t="n"/>
      <c r="J53" s="26" t="n"/>
      <c r="L53" s="26" t="n"/>
    </row>
    <row r="54">
      <c r="B54" s="27" t="inlineStr">
        <is>
          <t>Покраска эмаль</t>
        </is>
      </c>
      <c r="C54" s="6" t="inlineStr">
        <is>
          <t>Аренда</t>
        </is>
      </c>
      <c r="D54" s="6" t="inlineStr">
        <is>
          <t>аренда</t>
        </is>
      </c>
      <c r="E54" s="28">
        <f>Параметры!$C$10</f>
        <v/>
      </c>
      <c r="F54" s="6" t="n">
        <v>0</v>
      </c>
      <c r="G54" s="6" t="inlineStr">
        <is>
          <t>день</t>
        </is>
      </c>
      <c r="H54" s="28">
        <f>IF(OR(E54="",F54=""),0,E54*F54)</f>
        <v/>
      </c>
      <c r="I54" s="28">
        <f>IF(D54="закупка",H54*Параметры!$C$6,0)</f>
        <v/>
      </c>
      <c r="J54" s="28">
        <f>H54+I54</f>
        <v/>
      </c>
      <c r="L54" s="6" t="inlineStr">
        <is>
          <t>Ставка аренды из Параметры</t>
        </is>
      </c>
    </row>
    <row r="55">
      <c r="B55" s="27" t="inlineStr">
        <is>
          <t>Покраска эмаль</t>
        </is>
      </c>
      <c r="C55" s="6" t="inlineStr">
        <is>
          <t>Маляр</t>
        </is>
      </c>
      <c r="D55" s="6" t="inlineStr">
        <is>
          <t>труд</t>
        </is>
      </c>
      <c r="E55" s="29" t="n">
        <v>3000</v>
      </c>
      <c r="F55" s="6" t="n">
        <v>0</v>
      </c>
      <c r="G55" s="6" t="inlineStr">
        <is>
          <t>день</t>
        </is>
      </c>
      <c r="H55" s="28">
        <f>IF(OR(E55="",F55=""),0,E55*F55)</f>
        <v/>
      </c>
      <c r="I55" s="28">
        <f>IF(D55="закупка",H55*Параметры!$C$6,0)</f>
        <v/>
      </c>
      <c r="J55" s="28">
        <f>H55+I55</f>
        <v/>
      </c>
      <c r="L55" s="6" t="inlineStr"/>
    </row>
    <row r="56">
      <c r="B56" s="27" t="inlineStr">
        <is>
          <t>Покраска эмаль</t>
        </is>
      </c>
      <c r="C56" s="6" t="inlineStr">
        <is>
          <t>Рабочий</t>
        </is>
      </c>
      <c r="D56" s="6" t="inlineStr">
        <is>
          <t>труд</t>
        </is>
      </c>
      <c r="E56" s="29" t="n">
        <v>5000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Респиратор</t>
        </is>
      </c>
      <c r="D57" s="6" t="inlineStr">
        <is>
          <t>закупка</t>
        </is>
      </c>
      <c r="E57" s="29" t="n">
        <v>500</v>
      </c>
      <c r="F57" s="6" t="n">
        <v>0</v>
      </c>
      <c r="G57" s="6" t="inlineStr">
        <is>
          <t>шт</t>
        </is>
      </c>
      <c r="H57" s="28">
        <f>IF(OR(E57="",F57=""),0,E57*F57)</f>
        <v/>
      </c>
      <c r="I57" s="28">
        <f>IF(D57="закупка",H57*Параметры!$C$6,0)</f>
        <v/>
      </c>
      <c r="J57" s="28">
        <f>H57+I57</f>
        <v/>
      </c>
      <c r="L57" s="6" t="inlineStr"/>
    </row>
    <row r="58">
      <c r="B58" s="27" t="inlineStr">
        <is>
          <t>Покраска эмаль</t>
        </is>
      </c>
      <c r="C58" s="6" t="inlineStr">
        <is>
          <t>Грунт</t>
        </is>
      </c>
      <c r="D58" s="6" t="inlineStr">
        <is>
          <t>закупка</t>
        </is>
      </c>
      <c r="E58" s="29" t="n">
        <v>600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Лак</t>
        </is>
      </c>
      <c r="D59" s="6" t="inlineStr">
        <is>
          <t>закупка</t>
        </is>
      </c>
      <c r="E59" s="29" t="n">
        <v>1000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Эмаль 0,8л</t>
        </is>
      </c>
      <c r="D60" s="6" t="inlineStr">
        <is>
          <t>закупка</t>
        </is>
      </c>
      <c r="E60" s="29" t="n">
        <v>1200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2,0л</t>
        </is>
      </c>
      <c r="D61" s="6" t="inlineStr">
        <is>
          <t>закупка</t>
        </is>
      </c>
      <c r="E61" s="29" t="n">
        <v>3500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Мет.щётки, кисти</t>
        </is>
      </c>
      <c r="D62" s="6" t="inlineStr">
        <is>
          <t>закупка</t>
        </is>
      </c>
      <c r="E62" s="29" t="n">
        <v>300</v>
      </c>
      <c r="F62" s="6" t="n">
        <v>0</v>
      </c>
      <c r="G62" s="6" t="inlineStr">
        <is>
          <t>набор</t>
        </is>
      </c>
      <c r="H62" s="28">
        <f>IF(OR(E62="",F62=""),0,E62*F62)</f>
        <v/>
      </c>
      <c r="I62" s="28">
        <f>IF(D62="закупка",H62*Параметры!$C$6,0)</f>
        <v/>
      </c>
      <c r="J62" s="28">
        <f>H62+I62</f>
        <v/>
      </c>
      <c r="L62" s="6" t="inlineStr"/>
    </row>
    <row r="63">
      <c r="B63" s="27" t="inlineStr">
        <is>
          <t>Покраска эмаль</t>
        </is>
      </c>
      <c r="C63" s="6" t="inlineStr">
        <is>
          <t>Растворитель</t>
        </is>
      </c>
      <c r="D63" s="6" t="inlineStr">
        <is>
          <t>закупка</t>
        </is>
      </c>
      <c r="E63" s="29" t="n">
        <v>370</v>
      </c>
      <c r="F63" s="6" t="n">
        <v>0</v>
      </c>
      <c r="G63" s="6" t="inlineStr">
        <is>
          <t>шт</t>
        </is>
      </c>
      <c r="H63" s="28">
        <f>IF(OR(E63="",F63=""),0,E63*F63)</f>
        <v/>
      </c>
      <c r="I63" s="28">
        <f>IF(D63="закупка",H63*Параметры!$C$6,0)</f>
        <v/>
      </c>
      <c r="J63" s="28">
        <f>H63+I63</f>
        <v/>
      </c>
      <c r="L63" s="6" t="inlineStr"/>
    </row>
    <row r="64">
      <c r="B64" s="27" t="inlineStr">
        <is>
          <t>Покраска эмаль</t>
        </is>
      </c>
      <c r="C64" s="6" t="inlineStr">
        <is>
          <t>Холодный цинк</t>
        </is>
      </c>
      <c r="D64" s="6" t="inlineStr">
        <is>
          <t>закупка</t>
        </is>
      </c>
      <c r="E64" s="29" t="n">
        <v>2500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Транспорт микроавтобус</t>
        </is>
      </c>
      <c r="D65" s="6" t="inlineStr">
        <is>
          <t>транспорт</t>
        </is>
      </c>
      <c r="E65" s="29" t="n">
        <v>2000</v>
      </c>
      <c r="F65" s="6" t="n">
        <v>0</v>
      </c>
      <c r="G65" s="6" t="inlineStr">
        <is>
          <t>рейс</t>
        </is>
      </c>
      <c r="H65" s="28">
        <f>IF(OR(E65="",F65=""),0,E65*F65)</f>
        <v/>
      </c>
      <c r="I65" s="28">
        <f>IF(D65="закупка",H65*Параметры!$C$6,0)</f>
        <v/>
      </c>
      <c r="J65" s="28">
        <f>H65+I65</f>
        <v/>
      </c>
      <c r="L65" s="6" t="inlineStr"/>
    </row>
    <row r="66">
      <c r="B66" s="27" t="inlineStr">
        <is>
          <t>Покраска эмаль</t>
        </is>
      </c>
      <c r="C66" s="6" t="inlineStr">
        <is>
          <t>Транспорт бортовая 4м</t>
        </is>
      </c>
      <c r="D66" s="6" t="inlineStr">
        <is>
          <t>транспорт</t>
        </is>
      </c>
      <c r="E66" s="29" t="n">
        <v>1500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6м</t>
        </is>
      </c>
      <c r="D67" s="6" t="inlineStr">
        <is>
          <t>транспорт</t>
        </is>
      </c>
      <c r="E67" s="29" t="n">
        <v>3500</v>
      </c>
      <c r="F67" s="6" t="n">
        <v>0</v>
      </c>
      <c r="G67" s="6" t="inlineStr">
        <is>
          <t>рейс</t>
        </is>
      </c>
      <c r="H67" s="28">
        <f>IF(OR(E67="",F67=""),0,E67*F67)</f>
        <v/>
      </c>
      <c r="I67" s="28">
        <f>IF(D67="закупка",H67*Параметры!$C$6,0)</f>
        <v/>
      </c>
      <c r="J67" s="28">
        <f>H67+I67</f>
        <v/>
      </c>
      <c r="L67" s="6" t="inlineStr"/>
    </row>
    <row r="68">
      <c r="B68" s="26" t="inlineStr">
        <is>
          <t>7. Пескоструй</t>
        </is>
      </c>
      <c r="C68" s="26" t="n"/>
      <c r="D68" s="26" t="n"/>
      <c r="E68" s="26" t="n"/>
      <c r="F68" s="26" t="n"/>
      <c r="G68" s="26" t="n"/>
      <c r="H68" s="26" t="n"/>
      <c r="I68" s="26" t="n"/>
      <c r="J68" s="26" t="n"/>
      <c r="L68" s="26" t="n"/>
    </row>
    <row r="69">
      <c r="B69" s="27" t="inlineStr">
        <is>
          <t>Пескоструй</t>
        </is>
      </c>
      <c r="C69" s="6" t="inlineStr">
        <is>
          <t>Услуга пескоструй</t>
        </is>
      </c>
      <c r="D69" s="6" t="inlineStr">
        <is>
          <t>услуга</t>
        </is>
      </c>
      <c r="E69" s="29" t="n">
        <v>900</v>
      </c>
      <c r="F69" s="6" t="n">
        <v>0</v>
      </c>
      <c r="G69" s="6" t="inlineStr">
        <is>
          <t>м</t>
        </is>
      </c>
      <c r="H69" s="28">
        <f>IF(OR(E69="",F69=""),0,E69*F69)</f>
        <v/>
      </c>
      <c r="I69" s="28">
        <f>IF(D69="закупка",H69*Параметры!$C$6,0)</f>
        <v/>
      </c>
      <c r="J69" s="28">
        <f>H69+I69</f>
        <v/>
      </c>
      <c r="L69" s="6" t="inlineStr"/>
    </row>
    <row r="70">
      <c r="B70" s="27" t="inlineStr">
        <is>
          <t>Пескоструй</t>
        </is>
      </c>
      <c r="C70" s="6" t="inlineStr">
        <is>
          <t>Транспорт на пескоструй</t>
        </is>
      </c>
      <c r="D70" s="6" t="inlineStr">
        <is>
          <t>транспорт</t>
        </is>
      </c>
      <c r="E70" s="29" t="n">
        <v>2000</v>
      </c>
      <c r="F70" s="6" t="n">
        <v>0</v>
      </c>
      <c r="G70" s="6" t="inlineStr">
        <is>
          <t>рейс</t>
        </is>
      </c>
      <c r="H70" s="28">
        <f>IF(OR(E70="",F70=""),0,E70*F70)</f>
        <v/>
      </c>
      <c r="I70" s="28">
        <f>IF(D70="закупка",H70*Параметры!$C$6,0)</f>
        <v/>
      </c>
      <c r="J70" s="28">
        <f>H70+I70</f>
        <v/>
      </c>
      <c r="L70" s="6" t="inlineStr"/>
    </row>
    <row r="71">
      <c r="B71" s="27" t="inlineStr">
        <is>
          <t>Пескоструй</t>
        </is>
      </c>
      <c r="C71" s="6" t="inlineStr">
        <is>
          <t>Транспорт с пескоструя</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6" t="inlineStr">
        <is>
          <t>8. Порошковая покраска</t>
        </is>
      </c>
      <c r="C72" s="26" t="n"/>
      <c r="D72" s="26" t="n"/>
      <c r="E72" s="26" t="n"/>
      <c r="F72" s="26" t="n"/>
      <c r="G72" s="26" t="n"/>
      <c r="H72" s="26" t="n"/>
      <c r="I72" s="26" t="n"/>
      <c r="J72" s="26" t="n"/>
      <c r="L72" s="26" t="n"/>
    </row>
    <row r="73">
      <c r="B73" s="27" t="inlineStr">
        <is>
          <t>Порошок</t>
        </is>
      </c>
      <c r="C73" s="6" t="inlineStr">
        <is>
          <t>Покраска обычная</t>
        </is>
      </c>
      <c r="D73" s="6" t="inlineStr">
        <is>
          <t>услуга</t>
        </is>
      </c>
      <c r="E73" s="29" t="n">
        <v>2000</v>
      </c>
      <c r="F73" s="6" t="n">
        <v>0</v>
      </c>
      <c r="G73" s="6" t="inlineStr">
        <is>
          <t>услуга</t>
        </is>
      </c>
      <c r="H73" s="28">
        <f>IF(OR(E73="",F73=""),0,E73*F73)</f>
        <v/>
      </c>
      <c r="I73" s="28">
        <f>IF(D73="закупка",H73*Параметры!$C$6,0)</f>
        <v/>
      </c>
      <c r="J73" s="28">
        <f>H73+I73</f>
        <v/>
      </c>
      <c r="L73" s="6" t="inlineStr"/>
    </row>
    <row r="74">
      <c r="B74" s="27" t="inlineStr">
        <is>
          <t>Порошок</t>
        </is>
      </c>
      <c r="C74" s="6" t="inlineStr">
        <is>
          <t>Покраска с цинком</t>
        </is>
      </c>
      <c r="D74" s="6" t="inlineStr">
        <is>
          <t>услуга</t>
        </is>
      </c>
      <c r="E74" s="29" t="n">
        <v>2400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шагрень</t>
        </is>
      </c>
      <c r="D75" s="6" t="inlineStr">
        <is>
          <t>услуга</t>
        </is>
      </c>
      <c r="E75" s="29" t="n">
        <v>2300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антик (молотковая)</t>
        </is>
      </c>
      <c r="D76" s="6" t="inlineStr">
        <is>
          <t>услуга</t>
        </is>
      </c>
      <c r="E76" s="29" t="n">
        <v>2200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Транспорт на покраску</t>
        </is>
      </c>
      <c r="D77" s="6" t="inlineStr">
        <is>
          <t>транспорт</t>
        </is>
      </c>
      <c r="E77" s="29" t="n">
        <v>2000</v>
      </c>
      <c r="F77" s="6" t="n">
        <v>0</v>
      </c>
      <c r="G77" s="6" t="inlineStr">
        <is>
          <t>рейс</t>
        </is>
      </c>
      <c r="H77" s="28">
        <f>IF(OR(E77="",F77=""),0,E77*F77)</f>
        <v/>
      </c>
      <c r="I77" s="28">
        <f>IF(D77="закупка",H77*Параметры!$C$6,0)</f>
        <v/>
      </c>
      <c r="J77" s="28">
        <f>H77+I77</f>
        <v/>
      </c>
      <c r="L77" s="6" t="inlineStr"/>
    </row>
    <row r="78">
      <c r="B78" s="27" t="inlineStr">
        <is>
          <t>Порошок</t>
        </is>
      </c>
      <c r="C78" s="6" t="inlineStr">
        <is>
          <t>Транспорт с покраски</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людей</t>
        </is>
      </c>
      <c r="D79" s="6" t="inlineStr">
        <is>
          <t>транспорт</t>
        </is>
      </c>
      <c r="E79" s="29" t="n">
        <v>500</v>
      </c>
      <c r="F79" s="6" t="n">
        <v>0</v>
      </c>
      <c r="G79" s="6" t="inlineStr">
        <is>
          <t>поездка</t>
        </is>
      </c>
      <c r="H79" s="28">
        <f>IF(OR(E79="",F79=""),0,E79*F79)</f>
        <v/>
      </c>
      <c r="I79" s="28">
        <f>IF(D79="закупка",H79*Параметры!$C$6,0)</f>
        <v/>
      </c>
      <c r="J79" s="28">
        <f>H79+I79</f>
        <v/>
      </c>
      <c r="L79" s="6" t="inlineStr"/>
    </row>
    <row r="80">
      <c r="B80" s="26" t="inlineStr">
        <is>
          <t>9. Монтаж</t>
        </is>
      </c>
      <c r="C80" s="26" t="n"/>
      <c r="D80" s="26" t="n"/>
      <c r="E80" s="26" t="n"/>
      <c r="F80" s="26" t="n"/>
      <c r="G80" s="26" t="n"/>
      <c r="H80" s="26" t="n"/>
      <c r="I80" s="26" t="n"/>
      <c r="J80" s="26" t="n"/>
      <c r="L80" s="26" t="n"/>
    </row>
    <row r="81">
      <c r="B81" s="27" t="inlineStr">
        <is>
          <t>Монтаж</t>
        </is>
      </c>
      <c r="C81" s="6" t="inlineStr">
        <is>
          <t>Аренда</t>
        </is>
      </c>
      <c r="D81" s="6" t="inlineStr">
        <is>
          <t>аренда</t>
        </is>
      </c>
      <c r="E81" s="28">
        <f>Параметры!$C$10</f>
        <v/>
      </c>
      <c r="F81" s="6" t="n">
        <v>0</v>
      </c>
      <c r="G81" s="6" t="inlineStr">
        <is>
          <t>день</t>
        </is>
      </c>
      <c r="H81" s="28">
        <f>IF(OR(E81="",F81=""),0,E81*F81)</f>
        <v/>
      </c>
      <c r="I81" s="28">
        <f>IF(D81="закупка",H81*Параметры!$C$6,0)</f>
        <v/>
      </c>
      <c r="J81" s="28">
        <f>H81+I81</f>
        <v/>
      </c>
      <c r="L81" s="6" t="inlineStr">
        <is>
          <t>Ставка аренды из Параметры</t>
        </is>
      </c>
    </row>
    <row r="82">
      <c r="B82" s="27" t="inlineStr">
        <is>
          <t>Монтаж</t>
        </is>
      </c>
      <c r="C82" s="6" t="inlineStr">
        <is>
          <t>Монтажники</t>
        </is>
      </c>
      <c r="D82" s="6" t="inlineStr">
        <is>
          <t>труд</t>
        </is>
      </c>
      <c r="E82" s="29" t="n">
        <v>5000</v>
      </c>
      <c r="F82" s="6" t="n">
        <v>0</v>
      </c>
      <c r="G82" s="6" t="inlineStr">
        <is>
          <t>день</t>
        </is>
      </c>
      <c r="H82" s="28">
        <f>IF(OR(E82="",F82=""),0,E82*F82)</f>
        <v/>
      </c>
      <c r="I82" s="28">
        <f>IF(D82="закупка",H82*Параметры!$C$6,0)</f>
        <v/>
      </c>
      <c r="J82" s="28">
        <f>H82+I82</f>
        <v/>
      </c>
      <c r="L82" s="6" t="inlineStr"/>
    </row>
    <row r="83">
      <c r="B83" s="27" t="inlineStr">
        <is>
          <t>Монтаж</t>
        </is>
      </c>
      <c r="C83" s="6" t="inlineStr">
        <is>
          <t>Помощник</t>
        </is>
      </c>
      <c r="D83" s="6" t="inlineStr">
        <is>
          <t>труд</t>
        </is>
      </c>
      <c r="E83" s="29" t="n">
        <v>4000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Крепежи, хим.анкер</t>
        </is>
      </c>
      <c r="D84" s="6" t="inlineStr">
        <is>
          <t>закупка</t>
        </is>
      </c>
      <c r="E84" s="29" t="n">
        <v>2000</v>
      </c>
      <c r="F84" s="6" t="n">
        <v>0</v>
      </c>
      <c r="G84" s="6" t="inlineStr">
        <is>
          <t>набор</t>
        </is>
      </c>
      <c r="H84" s="28">
        <f>IF(OR(E84="",F84=""),0,E84*F84)</f>
        <v/>
      </c>
      <c r="I84" s="28">
        <f>IF(D84="закупка",H84*Параметры!$C$6,0)</f>
        <v/>
      </c>
      <c r="J84" s="28">
        <f>H84+I84</f>
        <v/>
      </c>
      <c r="L84" s="6" t="inlineStr"/>
    </row>
    <row r="85">
      <c r="B85" s="27" t="inlineStr">
        <is>
          <t>Монтаж</t>
        </is>
      </c>
      <c r="C85" s="6" t="inlineStr">
        <is>
          <t>Транспорт рабочих</t>
        </is>
      </c>
      <c r="D85" s="6" t="inlineStr">
        <is>
          <t>транспорт</t>
        </is>
      </c>
      <c r="E85" s="29" t="n">
        <v>500</v>
      </c>
      <c r="F85" s="6" t="n">
        <v>0</v>
      </c>
      <c r="G85" s="6" t="inlineStr">
        <is>
          <t>поездка</t>
        </is>
      </c>
      <c r="H85" s="28">
        <f>IF(OR(E85="",F85=""),0,E85*F85)</f>
        <v/>
      </c>
      <c r="I85" s="28">
        <f>IF(D85="закупка",H85*Параметры!$C$6,0)</f>
        <v/>
      </c>
      <c r="J85" s="28">
        <f>H85+I85</f>
        <v/>
      </c>
      <c r="L85" s="6" t="inlineStr"/>
    </row>
    <row r="86">
      <c r="B86" s="27" t="inlineStr">
        <is>
          <t>Монтаж</t>
        </is>
      </c>
      <c r="C86" s="6" t="inlineStr">
        <is>
          <t>Транспорт оборудования на объект</t>
        </is>
      </c>
      <c r="D86" s="6" t="inlineStr">
        <is>
          <t>транспорт</t>
        </is>
      </c>
      <c r="E86" s="29" t="n">
        <v>2000</v>
      </c>
      <c r="F86" s="6" t="n">
        <v>0</v>
      </c>
      <c r="G86" s="6" t="inlineStr">
        <is>
          <t>рейс</t>
        </is>
      </c>
      <c r="H86" s="28">
        <f>IF(OR(E86="",F86=""),0,E86*F86)</f>
        <v/>
      </c>
      <c r="I86" s="28">
        <f>IF(D86="закупка",H86*Параметры!$C$6,0)</f>
        <v/>
      </c>
      <c r="J86" s="28">
        <f>H86+I86</f>
        <v/>
      </c>
      <c r="L86" s="6" t="inlineStr"/>
    </row>
    <row r="87">
      <c r="B87" s="27" t="inlineStr">
        <is>
          <t>Монтаж</t>
        </is>
      </c>
      <c r="C87" s="6" t="inlineStr">
        <is>
          <t>Транспорт оборудования в цех</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6" t="inlineStr">
        <is>
          <t>10. Расходники в день</t>
        </is>
      </c>
      <c r="C88" s="26" t="n"/>
      <c r="D88" s="26" t="n"/>
      <c r="E88" s="26" t="n"/>
      <c r="F88" s="26" t="n"/>
      <c r="G88" s="26" t="n"/>
      <c r="H88" s="26" t="n"/>
      <c r="I88" s="26" t="n"/>
      <c r="J88" s="26" t="n"/>
      <c r="L88" s="26" t="n"/>
    </row>
    <row r="89">
      <c r="B89" s="27" t="inlineStr">
        <is>
          <t>Расходники/день</t>
        </is>
      </c>
      <c r="C89" s="6" t="inlineStr">
        <is>
          <t>Абразивы</t>
        </is>
      </c>
      <c r="D89" s="6" t="inlineStr">
        <is>
          <t>закупка</t>
        </is>
      </c>
      <c r="E89" s="29" t="n">
        <v>600</v>
      </c>
      <c r="F89" s="6" t="n">
        <v>0</v>
      </c>
      <c r="G89" s="6" t="inlineStr">
        <is>
          <t>день</t>
        </is>
      </c>
      <c r="H89" s="28">
        <f>IF(OR(E89="",F89=""),0,E89*F89)</f>
        <v/>
      </c>
      <c r="I89" s="28">
        <f>IF(D89="закупка",H89*Параметры!$C$6,0)</f>
        <v/>
      </c>
      <c r="J89" s="28">
        <f>H89+I89</f>
        <v/>
      </c>
      <c r="L89" s="6" t="inlineStr"/>
    </row>
    <row r="90">
      <c r="B90" s="27" t="inlineStr">
        <is>
          <t>Расходники/день</t>
        </is>
      </c>
      <c r="C90" s="6" t="inlineStr">
        <is>
          <t>Кислород</t>
        </is>
      </c>
      <c r="D90" s="6" t="inlineStr">
        <is>
          <t>закупка</t>
        </is>
      </c>
      <c r="E90" s="29" t="n">
        <v>330</v>
      </c>
      <c r="F90" s="6" t="n">
        <v>0</v>
      </c>
      <c r="G90" s="6" t="inlineStr">
        <is>
          <t>день</t>
        </is>
      </c>
      <c r="H90" s="28">
        <f>IF(OR(E90="",F90=""),0,E90*F90)</f>
        <v/>
      </c>
      <c r="I90" s="28">
        <f>IF(D90="закупка",H90*Параметры!$C$6,0)</f>
        <v/>
      </c>
      <c r="J90" s="28">
        <f>H90+I90</f>
        <v/>
      </c>
      <c r="L90" s="6" t="inlineStr">
        <is>
          <t>ориентир: баллон / срок</t>
        </is>
      </c>
    </row>
    <row r="91">
      <c r="B91" s="27" t="inlineStr">
        <is>
          <t>Расходники/день</t>
        </is>
      </c>
      <c r="C91" s="6" t="inlineStr">
        <is>
          <t>Углекислота</t>
        </is>
      </c>
      <c r="D91" s="6" t="inlineStr">
        <is>
          <t>закупка</t>
        </is>
      </c>
      <c r="E91" s="29" t="n">
        <v>65</v>
      </c>
      <c r="F91" s="6" t="n">
        <v>0</v>
      </c>
      <c r="G91" s="6" t="inlineStr">
        <is>
          <t>день</t>
        </is>
      </c>
      <c r="H91" s="28">
        <f>IF(OR(E91="",F91=""),0,E91*F91)</f>
        <v/>
      </c>
      <c r="I91" s="28">
        <f>IF(D91="закупка",H91*Параметры!$C$6,0)</f>
        <v/>
      </c>
      <c r="J91" s="28">
        <f>H91+I91</f>
        <v/>
      </c>
      <c r="L91" s="6" t="inlineStr"/>
    </row>
    <row r="92">
      <c r="B92" s="27" t="inlineStr">
        <is>
          <t>Расходники/день</t>
        </is>
      </c>
      <c r="C92" s="6" t="inlineStr">
        <is>
          <t>Пропан (газ)</t>
        </is>
      </c>
      <c r="D92" s="6" t="inlineStr">
        <is>
          <t>закупка</t>
        </is>
      </c>
      <c r="E92" s="29" t="n">
        <v>690</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Ковка (уголь)</t>
        </is>
      </c>
      <c r="D93" s="6" t="inlineStr">
        <is>
          <t>закупка</t>
        </is>
      </c>
      <c r="E93" s="29" t="n">
        <v>3100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Амортизация инструмента</t>
        </is>
      </c>
      <c r="D94" s="6" t="inlineStr">
        <is>
          <t>прочее</t>
        </is>
      </c>
      <c r="E94" s="29" t="n">
        <v>740</v>
      </c>
      <c r="F94" s="6" t="n">
        <v>0</v>
      </c>
      <c r="G94" s="6" t="inlineStr">
        <is>
          <t>день</t>
        </is>
      </c>
      <c r="H94" s="28">
        <f>IF(OR(E94="",F94=""),0,E94*F94)</f>
        <v/>
      </c>
      <c r="I94" s="28">
        <f>IF(D94="закупка",H94*Параметры!$C$6,0)</f>
        <v/>
      </c>
      <c r="J94" s="28">
        <f>H94+I94</f>
        <v/>
      </c>
      <c r="L94" s="6" t="inlineStr"/>
    </row>
    <row r="95">
      <c r="B95" s="27" t="n"/>
      <c r="C95" s="6" t="n"/>
      <c r="D95" s="6" t="n"/>
      <c r="E95" s="29" t="n"/>
      <c r="F95" s="6" t="n"/>
      <c r="G95" s="6" t="n"/>
      <c r="H95" s="28">
        <f>IF(OR(E95="",F95=""),0,E95*F95)</f>
        <v/>
      </c>
      <c r="I95" s="28">
        <f>IF(D95="закупка",H95*Параметры!$C$6,0)</f>
        <v/>
      </c>
      <c r="J95" s="28">
        <f>H95+I95</f>
        <v/>
      </c>
      <c r="L95" s="6" t="n"/>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6">
      <c r="B116" s="2" t="inlineStr">
        <is>
          <t>Пустые строки — для своих позиций. Тип «закупка» включает наценку менеджера автоматически.</t>
        </is>
      </c>
    </row>
  </sheetData>
  <autoFilter ref="B15:L114"/>
  <mergeCells count="13">
    <mergeCell ref="B53:L53"/>
    <mergeCell ref="B88:L88"/>
    <mergeCell ref="B68:L68"/>
    <mergeCell ref="B16:L16"/>
    <mergeCell ref="B72:L72"/>
    <mergeCell ref="B3:L3"/>
    <mergeCell ref="B2:L2"/>
    <mergeCell ref="B80:L80"/>
    <mergeCell ref="B46:L46"/>
    <mergeCell ref="N5:O5"/>
    <mergeCell ref="B32:L32"/>
    <mergeCell ref="B23:L23"/>
    <mergeCell ref="B40:L40"/>
  </mergeCells>
  <dataValidations count="1">
    <dataValidation sqref="D17 D18 D19 D20 D21 D22 D24 D25 D26 D27 D28 D29 D30 D31 D33 D34 D35 D36 D37 D38 D39 D41 D42 D43 D44 D45 D47 D48 D49 D50 D51 D52 D54 D55 D56 D57 D58 D59 D60 D61 D62 D63 D64 D65 D66 D67 D69 D70 D71 D73 D74 D75 D76 D77 D78 D79 D81 D82 D83 D84 D85 D86 D87 D89 D90 D91 D92 D93 D94 D95 D96 D97 D98 D99 D100 D101 D102 D103 D104 D105 D106 D107 D108 D109 D110 D111 D112 D113 D114"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8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Сумма</t>
        </is>
      </c>
      <c r="H41" s="10" t="inlineStr">
        <is>
          <t>Себестоимость</t>
        </is>
      </c>
      <c r="I41" s="10" t="inlineStr">
        <is>
          <t>Наценка</t>
        </is>
      </c>
    </row>
    <row r="42">
      <c r="B42" s="6" t="n"/>
      <c r="C42" s="6" t="n"/>
      <c r="D42" s="6" t="n">
        <v>0</v>
      </c>
      <c r="E42" s="6" t="inlineStr">
        <is>
          <t>шт</t>
        </is>
      </c>
      <c r="F42" s="29" t="n">
        <v>0</v>
      </c>
      <c r="G42" s="9">
        <f>H42</f>
        <v/>
      </c>
      <c r="H42" s="9">
        <f>IF(OR(D42="",F42=""),0,D42*F42)</f>
        <v/>
      </c>
      <c r="I42" s="9" t="n">
        <v>0</v>
      </c>
    </row>
    <row r="43">
      <c r="B43" s="6" t="n"/>
      <c r="C43" s="6" t="n"/>
      <c r="D43" s="6" t="n">
        <v>0</v>
      </c>
      <c r="E43" s="6" t="inlineStr">
        <is>
          <t>шт</t>
        </is>
      </c>
      <c r="F43" s="29" t="n">
        <v>0</v>
      </c>
      <c r="G43" s="9">
        <f>H43</f>
        <v/>
      </c>
      <c r="H43" s="9">
        <f>IF(OR(D43="",F43=""),0,D43*F43)</f>
        <v/>
      </c>
      <c r="I43" s="9" t="n">
        <v>0</v>
      </c>
    </row>
    <row r="44">
      <c r="B44" s="6" t="n"/>
      <c r="C44" s="6" t="n"/>
      <c r="D44" s="6" t="n">
        <v>0</v>
      </c>
      <c r="E44" s="6" t="inlineStr">
        <is>
          <t>шт</t>
        </is>
      </c>
      <c r="F44" s="29" t="n">
        <v>0</v>
      </c>
      <c r="G44" s="9">
        <f>H44</f>
        <v/>
      </c>
      <c r="H44" s="9">
        <f>IF(OR(D44="",F44=""),0,D44*F44)</f>
        <v/>
      </c>
      <c r="I44" s="9" t="n">
        <v>0</v>
      </c>
    </row>
    <row r="45">
      <c r="B45" s="6" t="n"/>
      <c r="C45" s="6" t="n"/>
      <c r="D45" s="6" t="n">
        <v>0</v>
      </c>
      <c r="E45" s="6" t="inlineStr">
        <is>
          <t>шт</t>
        </is>
      </c>
      <c r="F45" s="29" t="n">
        <v>0</v>
      </c>
      <c r="G45" s="9">
        <f>H45</f>
        <v/>
      </c>
      <c r="H45" s="9">
        <f>IF(OR(D45="",F45=""),0,D45*F45)</f>
        <v/>
      </c>
      <c r="I45" s="9" t="n">
        <v>0</v>
      </c>
    </row>
    <row r="46">
      <c r="B46" s="6" t="n"/>
      <c r="C46" s="6" t="n"/>
      <c r="D46" s="6" t="n">
        <v>0</v>
      </c>
      <c r="E46" s="6" t="inlineStr">
        <is>
          <t>шт</t>
        </is>
      </c>
      <c r="F46" s="29" t="n">
        <v>0</v>
      </c>
      <c r="G46" s="9">
        <f>H46</f>
        <v/>
      </c>
      <c r="H46" s="9">
        <f>IF(OR(D46="",F46=""),0,D46*F46)</f>
        <v/>
      </c>
      <c r="I46" s="9" t="n">
        <v>0</v>
      </c>
    </row>
    <row r="47">
      <c r="B47" s="6" t="n"/>
      <c r="C47" s="6" t="n"/>
      <c r="D47" s="6" t="n">
        <v>0</v>
      </c>
      <c r="E47" s="6" t="inlineStr">
        <is>
          <t>шт</t>
        </is>
      </c>
      <c r="F47" s="29" t="n">
        <v>0</v>
      </c>
      <c r="G47" s="9">
        <f>H47</f>
        <v/>
      </c>
      <c r="H47" s="9">
        <f>IF(OR(D47="",F47=""),0,D47*F47)</f>
        <v/>
      </c>
      <c r="I47" s="9" t="n">
        <v>0</v>
      </c>
    </row>
    <row r="48">
      <c r="B48" s="6" t="n"/>
      <c r="C48" s="6" t="n"/>
      <c r="D48" s="6" t="n">
        <v>0</v>
      </c>
      <c r="E48" s="6" t="inlineStr">
        <is>
          <t>шт</t>
        </is>
      </c>
      <c r="F48" s="29" t="n">
        <v>0</v>
      </c>
      <c r="G48" s="9">
        <f>H48</f>
        <v/>
      </c>
      <c r="H48" s="9">
        <f>IF(OR(D48="",F48=""),0,D48*F48)</f>
        <v/>
      </c>
      <c r="I48" s="9" t="n">
        <v>0</v>
      </c>
    </row>
    <row r="49">
      <c r="B49" s="6" t="n"/>
      <c r="C49" s="6" t="n"/>
      <c r="D49" s="6" t="n">
        <v>0</v>
      </c>
      <c r="E49" s="6" t="inlineStr">
        <is>
          <t>шт</t>
        </is>
      </c>
      <c r="F49" s="29" t="n">
        <v>0</v>
      </c>
      <c r="G49" s="9">
        <f>H49</f>
        <v/>
      </c>
      <c r="H49" s="9">
        <f>IF(OR(D49="",F49=""),0,D49*F49)</f>
        <v/>
      </c>
      <c r="I49" s="9" t="n">
        <v>0</v>
      </c>
    </row>
    <row r="50">
      <c r="B50" s="6" t="n"/>
      <c r="C50" s="6" t="n"/>
      <c r="D50" s="6" t="n">
        <v>0</v>
      </c>
      <c r="E50" s="6" t="inlineStr">
        <is>
          <t>шт</t>
        </is>
      </c>
      <c r="F50" s="29" t="n">
        <v>0</v>
      </c>
      <c r="G50" s="9">
        <f>H50</f>
        <v/>
      </c>
      <c r="H50" s="9">
        <f>IF(OR(D50="",F50=""),0,D50*F50)</f>
        <v/>
      </c>
      <c r="I50" s="9" t="n">
        <v>0</v>
      </c>
    </row>
    <row r="51">
      <c r="B51" s="6" t="n"/>
      <c r="C51" s="6" t="n"/>
      <c r="D51" s="6" t="n">
        <v>0</v>
      </c>
      <c r="E51" s="6" t="inlineStr">
        <is>
          <t>шт</t>
        </is>
      </c>
      <c r="F51" s="29" t="n">
        <v>0</v>
      </c>
      <c r="G51" s="9">
        <f>H51</f>
        <v/>
      </c>
      <c r="H51" s="9">
        <f>IF(OR(D51="",F51=""),0,D51*F51)</f>
        <v/>
      </c>
      <c r="I51" s="9" t="n">
        <v>0</v>
      </c>
    </row>
    <row r="52">
      <c r="F52" t="inlineStr">
        <is>
          <t>Плазма/лазер — себестоимость:</t>
        </is>
      </c>
      <c r="H52" s="13">
        <f>SUM(H42:H51)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Ковка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t>
        </is>
      </c>
      <c r="G71" s="10" t="inlineStr">
        <is>
          <t>Сумма</t>
        </is>
      </c>
      <c r="H71" s="10" t="inlineStr">
        <is>
          <t>Себестоимость</t>
        </is>
      </c>
      <c r="I71" s="10" t="inlineStr">
        <is>
          <t>Наценка</t>
        </is>
      </c>
    </row>
    <row r="72">
      <c r="B72" s="6" t="n"/>
      <c r="C72" s="6" t="n"/>
      <c r="D72" s="6" t="n">
        <v>0</v>
      </c>
      <c r="E72" s="6" t="inlineStr">
        <is>
          <t>шт</t>
        </is>
      </c>
      <c r="F72" s="29" t="n">
        <v>0</v>
      </c>
      <c r="G72" s="9">
        <f>H72</f>
        <v/>
      </c>
      <c r="H72" s="9">
        <f>IF(OR(D72="",F72=""),0,D72*F72)</f>
        <v/>
      </c>
      <c r="I72" s="9" t="n">
        <v>0</v>
      </c>
    </row>
    <row r="73">
      <c r="B73" s="6" t="n"/>
      <c r="C73" s="6" t="n"/>
      <c r="D73" s="6" t="n">
        <v>0</v>
      </c>
      <c r="E73" s="6" t="inlineStr">
        <is>
          <t>шт</t>
        </is>
      </c>
      <c r="F73" s="29" t="n">
        <v>0</v>
      </c>
      <c r="G73" s="9">
        <f>H73</f>
        <v/>
      </c>
      <c r="H73" s="9">
        <f>IF(OR(D73="",F73=""),0,D73*F73)</f>
        <v/>
      </c>
      <c r="I73" s="9" t="n">
        <v>0</v>
      </c>
    </row>
    <row r="74">
      <c r="B74" s="6" t="n"/>
      <c r="C74" s="6" t="n"/>
      <c r="D74" s="6" t="n">
        <v>0</v>
      </c>
      <c r="E74" s="6" t="inlineStr">
        <is>
          <t>шт</t>
        </is>
      </c>
      <c r="F74" s="29" t="n">
        <v>0</v>
      </c>
      <c r="G74" s="9">
        <f>H74</f>
        <v/>
      </c>
      <c r="H74" s="9">
        <f>IF(OR(D74="",F74=""),0,D74*F74)</f>
        <v/>
      </c>
      <c r="I74" s="9" t="n">
        <v>0</v>
      </c>
    </row>
    <row r="75">
      <c r="B75" s="6" t="n"/>
      <c r="C75" s="6" t="n"/>
      <c r="D75" s="6" t="n">
        <v>0</v>
      </c>
      <c r="E75" s="6" t="inlineStr">
        <is>
          <t>шт</t>
        </is>
      </c>
      <c r="F75" s="29" t="n">
        <v>0</v>
      </c>
      <c r="G75" s="9">
        <f>H75</f>
        <v/>
      </c>
      <c r="H75" s="9">
        <f>IF(OR(D75="",F75=""),0,D75*F75)</f>
        <v/>
      </c>
      <c r="I75" s="9" t="n">
        <v>0</v>
      </c>
    </row>
    <row r="76">
      <c r="B76" s="6" t="n"/>
      <c r="C76" s="6" t="n"/>
      <c r="D76" s="6" t="n">
        <v>0</v>
      </c>
      <c r="E76" s="6" t="inlineStr">
        <is>
          <t>шт</t>
        </is>
      </c>
      <c r="F76" s="29" t="n">
        <v>0</v>
      </c>
      <c r="G76" s="9">
        <f>H76</f>
        <v/>
      </c>
      <c r="H76" s="9">
        <f>IF(OR(D76="",F76=""),0,D76*F76)</f>
        <v/>
      </c>
      <c r="I76" s="9" t="n">
        <v>0</v>
      </c>
    </row>
    <row r="77">
      <c r="B77" s="6" t="n"/>
      <c r="C77" s="6" t="n"/>
      <c r="D77" s="6" t="n">
        <v>0</v>
      </c>
      <c r="E77" s="6" t="inlineStr">
        <is>
          <t>шт</t>
        </is>
      </c>
      <c r="F77" s="29" t="n">
        <v>0</v>
      </c>
      <c r="G77" s="9">
        <f>H77</f>
        <v/>
      </c>
      <c r="H77" s="9">
        <f>IF(OR(D77="",F77=""),0,D77*F77)</f>
        <v/>
      </c>
      <c r="I77" s="9" t="n">
        <v>0</v>
      </c>
    </row>
    <row r="78">
      <c r="B78" s="6" t="n"/>
      <c r="C78" s="6" t="n"/>
      <c r="D78" s="6" t="n">
        <v>0</v>
      </c>
      <c r="E78" s="6" t="inlineStr">
        <is>
          <t>шт</t>
        </is>
      </c>
      <c r="F78" s="29" t="n">
        <v>0</v>
      </c>
      <c r="G78" s="9">
        <f>H78</f>
        <v/>
      </c>
      <c r="H78" s="9">
        <f>IF(OR(D78="",F78=""),0,D78*F78)</f>
        <v/>
      </c>
      <c r="I78" s="9" t="n">
        <v>0</v>
      </c>
    </row>
    <row r="79">
      <c r="B79" s="6" t="n"/>
      <c r="C79" s="6" t="n"/>
      <c r="D79" s="6" t="n">
        <v>0</v>
      </c>
      <c r="E79" s="6" t="inlineStr">
        <is>
          <t>шт</t>
        </is>
      </c>
      <c r="F79" s="29" t="n">
        <v>0</v>
      </c>
      <c r="G79" s="9">
        <f>H79</f>
        <v/>
      </c>
      <c r="H79" s="9">
        <f>IF(OR(D79="",F79=""),0,D79*F79)</f>
        <v/>
      </c>
      <c r="I79" s="9" t="n">
        <v>0</v>
      </c>
    </row>
    <row r="80">
      <c r="B80" s="6" t="n"/>
      <c r="C80" s="6" t="n"/>
      <c r="D80" s="6" t="n">
        <v>0</v>
      </c>
      <c r="E80" s="6" t="inlineStr">
        <is>
          <t>шт</t>
        </is>
      </c>
      <c r="F80" s="29" t="n">
        <v>0</v>
      </c>
      <c r="G80" s="9">
        <f>H80</f>
        <v/>
      </c>
      <c r="H80" s="9">
        <f>IF(OR(D80="",F80=""),0,D80*F80)</f>
        <v/>
      </c>
      <c r="I80" s="9" t="n">
        <v>0</v>
      </c>
    </row>
    <row r="81">
      <c r="B81" s="6" t="n"/>
      <c r="C81" s="6" t="n"/>
      <c r="D81" s="6" t="n">
        <v>0</v>
      </c>
      <c r="E81" s="6" t="inlineStr">
        <is>
          <t>шт</t>
        </is>
      </c>
      <c r="F81" s="29" t="n">
        <v>0</v>
      </c>
      <c r="G81" s="9">
        <f>H81</f>
        <v/>
      </c>
      <c r="H81" s="9">
        <f>IF(OR(D81="",F81=""),0,D81*F81)</f>
        <v/>
      </c>
      <c r="I81" s="9" t="n">
        <v>0</v>
      </c>
    </row>
    <row r="82">
      <c r="F82" t="inlineStr">
        <is>
          <t>Токарка — себестоимость:</t>
        </is>
      </c>
      <c r="H82" s="13">
        <f>SUM(H72:H81)</f>
        <v/>
      </c>
    </row>
    <row r="84">
      <c r="F84" s="32" t="inlineStr">
        <is>
          <t>ВСЕГО металл — себестоимость:</t>
        </is>
      </c>
      <c r="H84" s="18">
        <f>H37+H52+H67+H82</f>
        <v/>
      </c>
    </row>
    <row r="85">
      <c r="F85" s="32" t="inlineStr">
        <is>
          <t>ВСЕГО наценка менеджера с металла (прокат+ковка):</t>
        </is>
      </c>
      <c r="H85" s="33">
        <f>I37+I67</f>
        <v/>
      </c>
    </row>
    <row r="87">
      <c r="B87" s="2" t="inlineStr">
        <is>
          <t>Обновление прайса: меняйте жёлтые цены в колонке F. Кол-во D — под конкретный заказ. Итоги уходят в Калькуляцию автоматически.</t>
        </is>
      </c>
    </row>
    <row r="88"/>
  </sheetData>
  <autoFilter ref="B5:J36"/>
  <mergeCells count="7">
    <mergeCell ref="B39:I39"/>
    <mergeCell ref="B69:I69"/>
    <mergeCell ref="B54:I54"/>
    <mergeCell ref="B2:I2"/>
    <mergeCell ref="B3:I3"/>
    <mergeCell ref="B87:J88"/>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F35"/>
  <sheetViews>
    <sheetView workbookViewId="0">
      <selection activeCell="A1" sqref="A1"/>
    </sheetView>
  </sheetViews>
  <sheetFormatPr baseColWidth="8" defaultRowHeight="15"/>
  <cols>
    <col width="3" customWidth="1" min="1" max="1"/>
    <col width="48" customWidth="1" min="2" max="2"/>
    <col width="14" customWidth="1" min="3" max="3"/>
    <col width="70"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34" t="n">
        <v>0.15</v>
      </c>
      <c r="D6" s="35" t="inlineStr">
        <is>
          <t>От цены поставщика. Ваша прибыль как менеджера.</t>
        </is>
      </c>
    </row>
    <row r="7">
      <c r="B7" s="5" t="inlineStr">
        <is>
          <t>Целевая маржа проекта (от выручки)</t>
        </is>
      </c>
      <c r="C7" s="34" t="n">
        <v>0.2</v>
      </c>
      <c r="D7" s="35" t="inlineStr">
        <is>
          <t>Чистая маржа после НПД. Диапазон обычно 10%…30%+.</t>
        </is>
      </c>
    </row>
    <row r="8">
      <c r="B8" s="5" t="inlineStr">
        <is>
          <t>Минимальная допустимая маржа</t>
        </is>
      </c>
      <c r="C8" s="34" t="n">
        <v>0.1</v>
      </c>
      <c r="D8" s="35" t="inlineStr">
        <is>
          <t>Ниже — статус «НИЖЕ МИНИМУМА».</t>
        </is>
      </c>
    </row>
    <row r="9">
      <c r="B9" s="5" t="inlineStr">
        <is>
          <t>Налог НПД (самозанятость)</t>
        </is>
      </c>
      <c r="C9" s="34" t="n">
        <v>0.04</v>
      </c>
      <c r="D9" s="35" t="inlineStr">
        <is>
          <t>4% — физлица, 6% — юрлица/ИП.</t>
        </is>
      </c>
    </row>
    <row r="10">
      <c r="B10" s="5" t="inlineStr">
        <is>
          <t>Аренда, ₽ / рабочий день</t>
        </is>
      </c>
      <c r="C10" s="36" t="n">
        <v>2000</v>
      </c>
      <c r="D10" s="35" t="inlineStr">
        <is>
          <t>Ставка аренды цеха на рабочий день.</t>
        </is>
      </c>
    </row>
    <row r="11">
      <c r="B11" s="5" t="inlineStr">
        <is>
          <t>Рабочих дней в месяце</t>
        </is>
      </c>
      <c r="C11" s="36" t="n">
        <v>22</v>
      </c>
      <c r="D11" s="35" t="inlineStr">
        <is>
          <t>Справочно для пересчёта постоянных расходов.</t>
        </is>
      </c>
    </row>
    <row r="12">
      <c r="B12" s="5" t="inlineStr">
        <is>
          <t>Агентские, % от цены КП</t>
        </is>
      </c>
      <c r="C12" s="34" t="n">
        <v>0</v>
      </c>
      <c r="D12" s="35"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37">
        <f>1/(1-C9-C7-C12)</f>
        <v/>
      </c>
      <c r="D15" s="35" t="inlineStr">
        <is>
          <t>Цена КП ≈ Себестоимость × коэффициент</t>
        </is>
      </c>
    </row>
    <row r="16">
      <c r="B16" s="5" t="inlineStr">
        <is>
          <t>Множитель цены при минимальной марже</t>
        </is>
      </c>
      <c r="C16" s="37">
        <f>1/(1-C9-C8-C12)</f>
        <v/>
      </c>
      <c r="D16" s="35" t="n"/>
    </row>
    <row r="18">
      <c r="B18" s="32" t="inlineStr">
        <is>
          <t>Тип изделия (список для шапки)</t>
        </is>
      </c>
    </row>
    <row r="19">
      <c r="B19" s="5" t="inlineStr">
        <is>
          <t>Ворота</t>
        </is>
      </c>
    </row>
    <row r="20">
      <c r="B20" s="5" t="inlineStr">
        <is>
          <t>Забор</t>
        </is>
      </c>
    </row>
    <row r="21">
      <c r="B21" s="5" t="inlineStr">
        <is>
          <t>Лестница</t>
        </is>
      </c>
    </row>
    <row r="22">
      <c r="B22" s="5" t="inlineStr">
        <is>
          <t>Мебель</t>
        </is>
      </c>
    </row>
    <row r="23">
      <c r="B23" s="5" t="inlineStr">
        <is>
          <t>Интерьер</t>
        </is>
      </c>
    </row>
    <row r="24">
      <c r="B24" s="5" t="inlineStr">
        <is>
          <t>Экстерьер</t>
        </is>
      </c>
    </row>
    <row r="25">
      <c r="B25" s="5" t="inlineStr">
        <is>
          <t>Сувенир</t>
        </is>
      </c>
    </row>
    <row r="26">
      <c r="B26" s="5" t="inlineStr">
        <is>
          <t>Прочее</t>
        </is>
      </c>
    </row>
    <row r="28">
      <c r="B28" s="32" t="inlineStr">
        <is>
          <t>Правило маржи</t>
        </is>
      </c>
    </row>
    <row r="29" ht="110" customHeight="1">
      <c r="B29" s="38"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Не добавляйте «+15% на закупки» и «+20% маржа» как две наценки на одну базу: 15% уже внутри итоговой прибыли.
КАССА ЗАКАЗА — отдельный опциональный учёт денег после сделки. На рентабельность и цену КП НЕ влияет.</t>
        </is>
      </c>
    </row>
    <row r="30"/>
    <row r="31"/>
    <row r="32"/>
    <row r="33"/>
    <row r="34"/>
    <row r="35"/>
  </sheetData>
  <mergeCells count="3">
    <mergeCell ref="B29:F35"/>
    <mergeCell ref="B2:D2"/>
    <mergeCell ref="B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39"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40">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17"/>
  <sheetViews>
    <sheetView workbookViewId="0">
      <selection activeCell="A1" sqref="A1"/>
    </sheetView>
  </sheetViews>
  <sheetFormatPr baseColWidth="8" defaultRowHeight="15"/>
  <cols>
    <col width="3" customWidth="1" min="1" max="1"/>
    <col width="120" customWidth="1" min="2" max="2"/>
  </cols>
  <sheetData>
    <row r="2">
      <c r="B2" s="1" t="inlineStr">
        <is>
          <t>Как работать с файлом</t>
        </is>
      </c>
    </row>
    <row r="4">
      <c r="B4" s="32" t="inlineStr">
        <is>
          <t>ГЛАВНЫЙ КОНТУР (для цены КП):</t>
        </is>
      </c>
    </row>
    <row r="5">
      <c r="B5" s="41" t="inlineStr">
        <is>
          <t>1. «Параметры» — % менеджера, целевая/мин. маржа, НПД, аренда/день.</t>
        </is>
      </c>
    </row>
    <row r="6">
      <c r="B6" s="41" t="inlineStr">
        <is>
          <t>2. «Металл» — в каталоге проката поставьте кол-во штанг (шт = 6 м). Цены уже загружены; при смене прайса правьте колонку F.</t>
        </is>
      </c>
    </row>
    <row r="7">
      <c r="B7" s="41" t="inlineStr">
        <is>
          <t>3. «Калькуляция» — количества по этапам (дни, рейсы, материалы).</t>
        </is>
      </c>
    </row>
    <row r="8">
      <c r="B8" s="41" t="inlineStr">
        <is>
          <t>4. «Сводка» — смотрите рекомендуемую цену, впишите цену КП в жёлтую ячейку, проверьте статус.</t>
        </is>
      </c>
    </row>
    <row r="9">
      <c r="B9" s="41" t="inlineStr"/>
    </row>
    <row r="10">
      <c r="B10" s="32" t="inlineStr">
        <is>
          <t>КАССА — НЕ ДЛЯ РАСЧЁТА ЦЕНЫ:</t>
        </is>
      </c>
    </row>
    <row r="11">
      <c r="B11" s="41" t="inlineStr">
        <is>
          <t>• Нужна после сделки: авансы клиента и факт выплат (металл, ЗП, транспорт).</t>
        </is>
      </c>
    </row>
    <row r="12">
      <c r="B12" s="41" t="inlineStr">
        <is>
          <t>• Из Сводки берёт только «Цену КП», чтобы показать остаток к получению.</t>
        </is>
      </c>
    </row>
    <row r="13">
      <c r="B13" s="41" t="inlineStr">
        <is>
          <t>• В Сводку / маржу / калькуляцию ничего не возвращает.</t>
        </is>
      </c>
    </row>
    <row r="14">
      <c r="B14" s="41" t="inlineStr">
        <is>
          <t>• Пока готовите КП — лист Касса можно не открывать.</t>
        </is>
      </c>
    </row>
    <row r="15">
      <c r="B15" s="41" t="inlineStr"/>
    </row>
    <row r="16">
      <c r="B16" s="41" t="inlineStr">
        <is>
          <t>Типы изделий: Ворота, Забор, Лестница, Мебель, Интерьер, Экстерьер, Сувенир, Прочее.</t>
        </is>
      </c>
    </row>
    <row r="17">
      <c r="B17" s="41"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2026-08-09T21:32:11Z</dcterms:created>
  <dcterms:modified xsi:type="dcterms:W3CDTF">2026-08-09T21:32:11Z</dcterms:modified>
</cp:coreProperties>
</file>